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結果" sheetId="1" state="visible" r:id="rId3"/>
    <sheet name="医療判定" sheetId="2" state="visible" r:id="rId4"/>
    <sheet name="パラメータ" sheetId="3" state="visible" r:id="rId5"/>
    <sheet name="教育費(段階別)" sheetId="4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<sst xmlns="http://schemas.openxmlformats.org/spreadsheetml/2006/main" count="258" uniqueCount="136">
  <si>
    <r>
      <rPr>
        <b val="true"/>
        <sz val="14"/>
        <color rgb="FF1F3864"/>
        <rFont val="Noto Sans CJK SC"/>
        <family val="2"/>
      </rPr>
      <t xml:space="preserve">必要保障額 算定エンジン テストケース（</t>
    </r>
    <r>
      <rPr>
        <b val="true"/>
        <sz val="14"/>
        <color rgb="FF1F3864"/>
        <rFont val="Arial"/>
        <family val="0"/>
        <charset val="1"/>
      </rPr>
      <t xml:space="preserve">grill</t>
    </r>
    <r>
      <rPr>
        <b val="true"/>
        <sz val="14"/>
        <color rgb="FF1F3864"/>
        <rFont val="Noto Sans CJK SC"/>
        <family val="2"/>
      </rPr>
      <t xml:space="preserve">後 </t>
    </r>
    <r>
      <rPr>
        <b val="true"/>
        <sz val="14"/>
        <color rgb="FF1F3864"/>
        <rFont val="Arial"/>
        <family val="0"/>
        <charset val="1"/>
      </rPr>
      <t xml:space="preserve">v0.2 / 10</t>
    </r>
    <r>
      <rPr>
        <b val="true"/>
        <sz val="14"/>
        <color rgb="FF1F3864"/>
        <rFont val="Noto Sans CJK SC"/>
        <family val="2"/>
      </rPr>
      <t xml:space="preserve">世帯・</t>
    </r>
    <r>
      <rPr>
        <b val="true"/>
        <sz val="14"/>
        <color rgb="FF1F3864"/>
        <rFont val="Arial"/>
        <family val="0"/>
        <charset val="1"/>
      </rPr>
      <t xml:space="preserve">19</t>
    </r>
    <r>
      <rPr>
        <b val="true"/>
        <sz val="14"/>
        <color rgb="FF1F3864"/>
        <rFont val="Noto Sans CJK SC"/>
        <family val="2"/>
      </rPr>
      <t xml:space="preserve">死亡ケース）</t>
    </r>
  </si>
  <si>
    <t xml:space="preserve">単位：万円。支出計・収入計・必要額・過不足は数式。内訳を書き換えると再計算されます。</t>
  </si>
  <si>
    <r>
      <rPr>
        <i val="true"/>
        <sz val="9"/>
        <color rgb="FF808080"/>
        <rFont val="Noto Sans CJK SC"/>
        <family val="2"/>
      </rPr>
      <t xml:space="preserve">判定：</t>
    </r>
    <r>
      <rPr>
        <i val="true"/>
        <sz val="9"/>
        <color rgb="FF808080"/>
        <rFont val="Arial"/>
        <family val="0"/>
        <charset val="1"/>
      </rPr>
      <t xml:space="preserve">shortage=</t>
    </r>
    <r>
      <rPr>
        <i val="true"/>
        <sz val="9"/>
        <color rgb="FF808080"/>
        <rFont val="Noto Sans CJK SC"/>
        <family val="2"/>
      </rPr>
      <t xml:space="preserve">不足／</t>
    </r>
    <r>
      <rPr>
        <i val="true"/>
        <sz val="9"/>
        <color rgb="FF808080"/>
        <rFont val="Arial"/>
        <family val="0"/>
        <charset val="1"/>
      </rPr>
      <t xml:space="preserve">sufficient=</t>
    </r>
    <r>
      <rPr>
        <i val="true"/>
        <sz val="9"/>
        <color rgb="FF808080"/>
        <rFont val="Noto Sans CJK SC"/>
        <family val="2"/>
      </rPr>
      <t xml:space="preserve">充足（上乗せ目安を提示）／</t>
    </r>
    <r>
      <rPr>
        <i val="true"/>
        <sz val="9"/>
        <color rgb="FF808080"/>
        <rFont val="Arial"/>
        <family val="0"/>
        <charset val="1"/>
      </rPr>
      <t xml:space="preserve">ample=</t>
    </r>
    <r>
      <rPr>
        <i val="true"/>
        <sz val="9"/>
        <color rgb="FF808080"/>
        <rFont val="Noto Sans CJK SC"/>
        <family val="2"/>
      </rPr>
      <t xml:space="preserve">余剰が大きく上乗せも不要／</t>
    </r>
    <r>
      <rPr>
        <i val="true"/>
        <sz val="9"/>
        <color rgb="FF808080"/>
        <rFont val="Arial"/>
        <family val="0"/>
        <charset val="1"/>
      </rPr>
      <t xml:space="preserve">not_needed=</t>
    </r>
    <r>
      <rPr>
        <i val="true"/>
        <sz val="9"/>
        <color rgb="FF808080"/>
        <rFont val="Noto Sans CJK SC"/>
        <family val="2"/>
      </rPr>
      <t xml:space="preserve">扶養家族なし</t>
    </r>
  </si>
  <si>
    <t xml:space="preserve">ID</t>
  </si>
  <si>
    <t xml:space="preserve">世帯</t>
  </si>
  <si>
    <t xml:space="preserve">死亡ケース</t>
  </si>
  <si>
    <t xml:space="preserve">子育て年数</t>
  </si>
  <si>
    <t xml:space="preserve">独立後年数</t>
  </si>
  <si>
    <r>
      <rPr>
        <b val="true"/>
        <sz val="9"/>
        <color rgb="FFFFFFFF"/>
        <rFont val="Noto Sans CJK SC"/>
        <family val="2"/>
      </rPr>
      <t xml:space="preserve">生活費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子育て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</si>
  <si>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生活費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独立後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</si>
  <si>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教育費</t>
  </si>
  <si>
    <t xml:space="preserve">住居費</t>
  </si>
  <si>
    <t xml:space="preserve">葬儀・予備費</t>
  </si>
  <si>
    <t xml:space="preserve">支出計</t>
  </si>
  <si>
    <t xml:space="preserve">遺族基礎年金</t>
  </si>
  <si>
    <t xml:space="preserve">遺族厚生年金</t>
  </si>
  <si>
    <t xml:space="preserve">中高齢寡婦加算</t>
  </si>
  <si>
    <t xml:space="preserve">遺族の就労収入</t>
  </si>
  <si>
    <t xml:space="preserve">金融資産</t>
  </si>
  <si>
    <t xml:space="preserve">収入計</t>
  </si>
  <si>
    <t xml:space="preserve">必要額</t>
  </si>
  <si>
    <t xml:space="preserve">提示下限</t>
  </si>
  <si>
    <t xml:space="preserve">提示上限</t>
  </si>
  <si>
    <t xml:space="preserve">判定</t>
  </si>
  <si>
    <t xml:space="preserve">現在の保障</t>
  </si>
  <si>
    <t xml:space="preserve">過不足</t>
  </si>
  <si>
    <t xml:space="preserve">GT-01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</si>
  <si>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37(500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35(250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持家・団信あり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400</t>
    </r>
    <r>
      <rPr>
        <sz val="9"/>
        <rFont val="Noto Sans CJK SC"/>
        <family val="2"/>
      </rPr>
      <t xml:space="preserve">万</t>
    </r>
  </si>
  <si>
    <t xml:space="preserve">本人死亡</t>
  </si>
  <si>
    <t xml:space="preserve">ample</t>
  </si>
  <si>
    <t xml:space="preserve">配偶者死亡</t>
  </si>
  <si>
    <t xml:space="preserve">GT-02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</si>
  <si>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38(500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35 </t>
    </r>
    <r>
      <rPr>
        <sz val="9"/>
        <rFont val="Noto Sans CJK SC"/>
        <family val="2"/>
      </rPr>
      <t xml:space="preserve">専業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歳・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賃貸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200</t>
    </r>
    <r>
      <rPr>
        <sz val="9"/>
        <rFont val="Noto Sans CJK SC"/>
        <family val="2"/>
      </rPr>
      <t xml:space="preserve">万</t>
    </r>
  </si>
  <si>
    <t xml:space="preserve">shortage</t>
  </si>
  <si>
    <t xml:space="preserve">GT-03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</si>
  <si>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40(700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38(400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歳・</t>
    </r>
    <r>
      <rPr>
        <sz val="9"/>
        <rFont val="Arial"/>
        <family val="0"/>
        <charset val="1"/>
      </rPr>
      <t xml:space="preserve">7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持家・団信あり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600</t>
    </r>
    <r>
      <rPr>
        <sz val="9"/>
        <rFont val="Noto Sans CJK SC"/>
        <family val="2"/>
      </rPr>
      <t xml:space="preserve">万</t>
    </r>
  </si>
  <si>
    <t xml:space="preserve">GT-04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</si>
  <si>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32(450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30(400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子なし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賃貸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300</t>
    </r>
    <r>
      <rPr>
        <sz val="9"/>
        <rFont val="Noto Sans CJK SC"/>
        <family val="2"/>
      </rPr>
      <t xml:space="preserve">万</t>
    </r>
  </si>
  <si>
    <t xml:space="preserve">GT-05</t>
  </si>
  <si>
    <r>
      <rPr>
        <sz val="9"/>
        <rFont val="Noto Sans CJK SC"/>
        <family val="2"/>
      </rPr>
      <t xml:space="preserve">独身</t>
    </r>
    <r>
      <rPr>
        <sz val="9"/>
        <rFont val="Arial"/>
        <family val="0"/>
        <charset val="1"/>
      </rPr>
      <t xml:space="preserve">35(500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300</t>
    </r>
    <r>
      <rPr>
        <sz val="9"/>
        <rFont val="Noto Sans CJK SC"/>
        <family val="2"/>
      </rPr>
      <t xml:space="preserve">万</t>
    </r>
  </si>
  <si>
    <t xml:space="preserve">not_needed</t>
  </si>
  <si>
    <t xml:space="preserve">GT-06</t>
  </si>
  <si>
    <r>
      <rPr>
        <sz val="9"/>
        <rFont val="Noto Sans CJK SC"/>
        <family val="2"/>
      </rPr>
      <t xml:space="preserve">自営</t>
    </r>
    <r>
      <rPr>
        <sz val="9"/>
        <rFont val="Arial"/>
        <family val="0"/>
        <charset val="1"/>
      </rPr>
      <t xml:space="preserve">45(600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43 </t>
    </r>
    <r>
      <rPr>
        <sz val="9"/>
        <rFont val="Noto Sans CJK SC"/>
        <family val="2"/>
      </rPr>
      <t xml:space="preserve">専業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持家・団信あり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500</t>
    </r>
    <r>
      <rPr>
        <sz val="9"/>
        <rFont val="Noto Sans CJK SC"/>
        <family val="2"/>
      </rPr>
      <t xml:space="preserve">万</t>
    </r>
  </si>
  <si>
    <t xml:space="preserve">GT-07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</si>
  <si>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45(800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43(300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15</t>
    </r>
    <r>
      <rPr>
        <sz val="9"/>
        <rFont val="Noto Sans CJK SC"/>
        <family val="2"/>
      </rPr>
      <t xml:space="preserve">歳・</t>
    </r>
    <r>
      <rPr>
        <sz val="9"/>
        <rFont val="Arial"/>
        <family val="0"/>
        <charset val="1"/>
      </rPr>
      <t xml:space="preserve">12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持家ローン</t>
    </r>
    <r>
      <rPr>
        <sz val="9"/>
        <rFont val="Arial"/>
        <family val="0"/>
        <charset val="1"/>
      </rPr>
      <t xml:space="preserve">1500</t>
    </r>
    <r>
      <rPr>
        <sz val="9"/>
        <rFont val="Noto Sans CJK SC"/>
        <family val="2"/>
      </rPr>
      <t xml:space="preserve">万・団信なし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800</t>
    </r>
    <r>
      <rPr>
        <sz val="9"/>
        <rFont val="Noto Sans CJK SC"/>
        <family val="2"/>
      </rPr>
      <t xml:space="preserve">万</t>
    </r>
  </si>
  <si>
    <t xml:space="preserve">sufficient</t>
  </si>
  <si>
    <t xml:space="preserve">GT-08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</si>
  <si>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35(400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33 </t>
    </r>
    <r>
      <rPr>
        <sz val="9"/>
        <rFont val="Noto Sans CJK SC"/>
        <family val="2"/>
      </rPr>
      <t xml:space="preserve">パート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賃貸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万</t>
    </r>
  </si>
  <si>
    <t xml:space="preserve">GT-09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</si>
  <si>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50(1200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48(600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持家ローンなし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2000</t>
    </r>
    <r>
      <rPr>
        <sz val="9"/>
        <rFont val="Noto Sans CJK SC"/>
        <family val="2"/>
      </rPr>
      <t xml:space="preserve">万</t>
    </r>
  </si>
  <si>
    <t xml:space="preserve">GT-10</t>
  </si>
  <si>
    <r>
      <rPr>
        <sz val="9"/>
        <rFont val="Noto Sans CJK SC"/>
        <family val="2"/>
      </rPr>
      <t xml:space="preserve">夫</t>
    </r>
    <r>
      <rPr>
        <sz val="9"/>
        <rFont val="Arial"/>
        <family val="0"/>
        <charset val="1"/>
      </rPr>
      <t xml:space="preserve">38(300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妻</t>
    </r>
    <r>
      <rPr>
        <sz val="9"/>
        <rFont val="Arial"/>
        <family val="0"/>
        <charset val="1"/>
      </rPr>
      <t xml:space="preserve">36(700</t>
    </r>
    <r>
      <rPr>
        <sz val="9"/>
        <rFont val="Noto Sans CJK SC"/>
        <family val="2"/>
      </rPr>
      <t xml:space="preserve">万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子</t>
    </r>
    <r>
      <rPr>
        <sz val="9"/>
        <rFont val="Arial"/>
        <family val="0"/>
        <charset val="1"/>
      </rPr>
      <t xml:space="preserve">6</t>
    </r>
    <r>
      <rPr>
        <sz val="9"/>
        <rFont val="Noto Sans CJK SC"/>
        <family val="2"/>
      </rPr>
      <t xml:space="preserve">歳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持家・団信あり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妻名義</t>
    </r>
    <r>
      <rPr>
        <sz val="9"/>
        <rFont val="Arial"/>
        <family val="0"/>
        <charset val="1"/>
      </rPr>
      <t xml:space="preserve">)/</t>
    </r>
    <r>
      <rPr>
        <sz val="9"/>
        <rFont val="Noto Sans CJK SC"/>
        <family val="2"/>
      </rPr>
      <t xml:space="preserve">貯蓄</t>
    </r>
    <r>
      <rPr>
        <sz val="9"/>
        <rFont val="Arial"/>
        <family val="0"/>
        <charset val="1"/>
      </rPr>
      <t xml:space="preserve">400</t>
    </r>
    <r>
      <rPr>
        <sz val="9"/>
        <rFont val="Noto Sans CJK SC"/>
        <family val="2"/>
      </rPr>
      <t xml:space="preserve">万</t>
    </r>
  </si>
  <si>
    <t xml:space="preserve">【前提】</t>
  </si>
  <si>
    <r>
      <rPr>
        <sz val="9"/>
        <color rgb="FF404040"/>
        <rFont val="Noto Sans CJK SC"/>
        <family val="2"/>
      </rPr>
      <t xml:space="preserve">・算定期間は「遺された配偶者が</t>
    </r>
    <r>
      <rPr>
        <sz val="9"/>
        <color rgb="FF404040"/>
        <rFont val="Arial"/>
        <family val="0"/>
        <charset val="1"/>
      </rPr>
      <t xml:space="preserve">65</t>
    </r>
    <r>
      <rPr>
        <sz val="9"/>
        <color rgb="FF404040"/>
        <rFont val="Noto Sans CJK SC"/>
        <family val="2"/>
      </rPr>
      <t xml:space="preserve">歳になるまで」。子育て期は生活費率</t>
    </r>
    <r>
      <rPr>
        <sz val="9"/>
        <color rgb="FF404040"/>
        <rFont val="Arial"/>
        <family val="0"/>
        <charset val="1"/>
      </rPr>
      <t xml:space="preserve">70%</t>
    </r>
    <r>
      <rPr>
        <sz val="9"/>
        <color rgb="FF404040"/>
        <rFont val="Noto Sans CJK SC"/>
        <family val="2"/>
      </rPr>
      <t xml:space="preserve">、末子独立後は</t>
    </r>
    <r>
      <rPr>
        <sz val="9"/>
        <color rgb="FF404040"/>
        <rFont val="Arial"/>
        <family val="0"/>
        <charset val="1"/>
      </rPr>
      <t xml:space="preserve">50%</t>
    </r>
    <r>
      <rPr>
        <sz val="9"/>
        <color rgb="FF404040"/>
        <rFont val="Noto Sans CJK SC"/>
        <family val="2"/>
      </rPr>
      <t xml:space="preserve">（いずれも当社基準）。</t>
    </r>
  </si>
  <si>
    <r>
      <rPr>
        <sz val="9"/>
        <color rgb="FF404040"/>
        <rFont val="Noto Sans CJK SC"/>
        <family val="2"/>
      </rPr>
      <t xml:space="preserve">・遺族の就労収入は、子育て期＝現在の手取り（年収</t>
    </r>
    <r>
      <rPr>
        <sz val="9"/>
        <color rgb="FF404040"/>
        <rFont val="Arial"/>
        <family val="0"/>
        <charset val="1"/>
      </rPr>
      <t xml:space="preserve">×80%</t>
    </r>
    <r>
      <rPr>
        <sz val="9"/>
        <color rgb="FF404040"/>
        <rFont val="Noto Sans CJK SC"/>
        <family val="2"/>
      </rPr>
      <t xml:space="preserve">）、末子独立後＝現在の手取りとパート相当</t>
    </r>
    <r>
      <rPr>
        <sz val="9"/>
        <color rgb="FF404040"/>
        <rFont val="Arial"/>
        <family val="0"/>
        <charset val="1"/>
      </rPr>
      <t xml:space="preserve">100</t>
    </r>
    <r>
      <rPr>
        <sz val="9"/>
        <color rgb="FF404040"/>
        <rFont val="Noto Sans CJK SC"/>
        <family val="2"/>
      </rPr>
      <t xml:space="preserve">万円の大きい方で連続推定（</t>
    </r>
    <r>
      <rPr>
        <sz val="9"/>
        <color rgb="FF404040"/>
        <rFont val="Arial"/>
        <family val="0"/>
        <charset val="1"/>
      </rPr>
      <t xml:space="preserve">grill Q3-b</t>
    </r>
    <r>
      <rPr>
        <sz val="9"/>
        <color rgb="FF404040"/>
        <rFont val="Noto Sans CJK SC"/>
        <family val="2"/>
      </rPr>
      <t xml:space="preserve">：分岐の崖をなくす）。</t>
    </r>
  </si>
  <si>
    <r>
      <rPr>
        <sz val="9"/>
        <color rgb="FF404040"/>
        <rFont val="Noto Sans CJK SC"/>
        <family val="2"/>
      </rPr>
      <t xml:space="preserve">・団信ありの住宅ローンは住居費</t>
    </r>
    <r>
      <rPr>
        <sz val="9"/>
        <color rgb="FF404040"/>
        <rFont val="Arial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。賃貸の家賃は生活費に含む。</t>
    </r>
  </si>
  <si>
    <r>
      <rPr>
        <sz val="9"/>
        <color rgb="FF404040"/>
        <rFont val="Noto Sans CJK SC"/>
        <family val="2"/>
      </rPr>
      <t xml:space="preserve">・遺族厚生年金は報酬比例部分（平均標準報酬額</t>
    </r>
    <r>
      <rPr>
        <sz val="9"/>
        <color rgb="FF404040"/>
        <rFont val="Arial"/>
        <family val="0"/>
        <charset val="1"/>
      </rPr>
      <t xml:space="preserve">×5.481/1000×</t>
    </r>
    <r>
      <rPr>
        <sz val="9"/>
        <color rgb="FF404040"/>
        <rFont val="Noto Sans CJK SC"/>
        <family val="2"/>
      </rPr>
      <t xml:space="preserve">みなし</t>
    </r>
    <r>
      <rPr>
        <sz val="9"/>
        <color rgb="FF404040"/>
        <rFont val="Arial"/>
        <family val="0"/>
        <charset val="1"/>
      </rPr>
      <t xml:space="preserve">300</t>
    </r>
    <r>
      <rPr>
        <sz val="9"/>
        <color rgb="FF404040"/>
        <rFont val="Noto Sans CJK SC"/>
        <family val="2"/>
      </rPr>
      <t xml:space="preserve">月）の</t>
    </r>
    <r>
      <rPr>
        <sz val="9"/>
        <color rgb="FF404040"/>
        <rFont val="Arial"/>
        <family val="0"/>
        <charset val="1"/>
      </rPr>
      <t xml:space="preserve">3/4</t>
    </r>
    <r>
      <rPr>
        <sz val="9"/>
        <color rgb="FF404040"/>
        <rFont val="Noto Sans CJK SC"/>
        <family val="2"/>
      </rPr>
      <t xml:space="preserve">。自営は</t>
    </r>
    <r>
      <rPr>
        <sz val="9"/>
        <color rgb="FF404040"/>
        <rFont val="Arial"/>
        <family val="0"/>
        <charset val="1"/>
      </rPr>
      <t xml:space="preserve">0</t>
    </r>
    <r>
      <rPr>
        <sz val="9"/>
        <color rgb="FF404040"/>
        <rFont val="Noto Sans CJK SC"/>
        <family val="2"/>
      </rPr>
      <t xml:space="preserve">。</t>
    </r>
  </si>
  <si>
    <r>
      <rPr>
        <sz val="9"/>
        <color rgb="FF404040"/>
        <rFont val="Noto Sans CJK SC"/>
        <family val="2"/>
      </rPr>
      <t xml:space="preserve">・子のない配偶者は</t>
    </r>
    <r>
      <rPr>
        <sz val="9"/>
        <color rgb="FF404040"/>
        <rFont val="Arial"/>
        <family val="0"/>
        <charset val="1"/>
      </rPr>
      <t xml:space="preserve">2028</t>
    </r>
    <r>
      <rPr>
        <sz val="9"/>
        <color rgb="FF404040"/>
        <rFont val="Noto Sans CJK SC"/>
        <family val="2"/>
      </rPr>
      <t xml:space="preserve">年</t>
    </r>
    <r>
      <rPr>
        <sz val="9"/>
        <color rgb="FF404040"/>
        <rFont val="Arial"/>
        <family val="0"/>
        <charset val="1"/>
      </rPr>
      <t xml:space="preserve">4</t>
    </r>
    <r>
      <rPr>
        <sz val="9"/>
        <color rgb="FF404040"/>
        <rFont val="Noto Sans CJK SC"/>
        <family val="2"/>
      </rPr>
      <t xml:space="preserve">月の改正により遺族厚生年金を</t>
    </r>
    <r>
      <rPr>
        <sz val="9"/>
        <color rgb="FF404040"/>
        <rFont val="Arial"/>
        <family val="0"/>
        <charset val="1"/>
      </rPr>
      <t xml:space="preserve">5</t>
    </r>
    <r>
      <rPr>
        <sz val="9"/>
        <color rgb="FF404040"/>
        <rFont val="Noto Sans CJK SC"/>
        <family val="2"/>
      </rPr>
      <t xml:space="preserve">年で計算。中高齢寡婦加算は死亡時</t>
    </r>
    <r>
      <rPr>
        <sz val="9"/>
        <color rgb="FF404040"/>
        <rFont val="Arial"/>
        <family val="0"/>
        <charset val="1"/>
      </rPr>
      <t xml:space="preserve">40</t>
    </r>
    <r>
      <rPr>
        <sz val="9"/>
        <color rgb="FF404040"/>
        <rFont val="Noto Sans CJK SC"/>
        <family val="2"/>
      </rPr>
      <t xml:space="preserve">歳以上が要件。</t>
    </r>
  </si>
  <si>
    <r>
      <rPr>
        <sz val="9"/>
        <color rgb="FF404040"/>
        <rFont val="Noto Sans CJK SC"/>
        <family val="2"/>
      </rPr>
      <t xml:space="preserve">・年金額は令和</t>
    </r>
    <r>
      <rPr>
        <sz val="9"/>
        <color rgb="FF404040"/>
        <rFont val="Arial"/>
        <family val="0"/>
        <charset val="1"/>
      </rPr>
      <t xml:space="preserve">8</t>
    </r>
    <r>
      <rPr>
        <sz val="9"/>
        <color rgb="FF404040"/>
        <rFont val="Noto Sans CJK SC"/>
        <family val="2"/>
      </rPr>
      <t xml:space="preserve">年度の報道値ベース（</t>
    </r>
    <r>
      <rPr>
        <sz val="9"/>
        <color rgb="FF404040"/>
        <rFont val="Arial"/>
        <family val="0"/>
        <charset val="1"/>
      </rPr>
      <t xml:space="preserve">verified:false</t>
    </r>
    <r>
      <rPr>
        <sz val="9"/>
        <color rgb="FF404040"/>
        <rFont val="Noto Sans CJK SC"/>
        <family val="2"/>
      </rPr>
      <t xml:space="preserve">）。日本年金機構の一次情報で要確認。</t>
    </r>
  </si>
  <si>
    <r>
      <rPr>
        <b val="true"/>
        <sz val="14"/>
        <color rgb="FF1F3864"/>
        <rFont val="Noto Sans CJK SC"/>
        <family val="2"/>
      </rPr>
      <t xml:space="preserve">医療保障の過不足判定（</t>
    </r>
    <r>
      <rPr>
        <b val="true"/>
        <sz val="14"/>
        <color rgb="FF1F3864"/>
        <rFont val="Arial"/>
        <family val="0"/>
        <charset val="1"/>
      </rPr>
      <t xml:space="preserve">grill Q4</t>
    </r>
    <r>
      <rPr>
        <b val="true"/>
        <sz val="14"/>
        <color rgb="FF1F3864"/>
        <rFont val="Noto Sans CJK SC"/>
        <family val="2"/>
      </rPr>
      <t xml:space="preserve">：公的統計ベース＋当社基準の明示）</t>
    </r>
  </si>
  <si>
    <t xml:space="preserve">単位：万円。想定自己負担・判定は数式。</t>
  </si>
  <si>
    <t xml:space="preserve">所得区分</t>
  </si>
  <si>
    <r>
      <rPr>
        <b val="true"/>
        <sz val="9"/>
        <color rgb="FFFFFFFF"/>
        <rFont val="Noto Sans CJK SC"/>
        <family val="2"/>
      </rPr>
      <t xml:space="preserve">月額自己負担上限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</si>
  <si>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保険外費用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月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</si>
  <si>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標準入院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ヶ月の自己負担</t>
    </r>
  </si>
  <si>
    <r>
      <rPr>
        <b val="true"/>
        <sz val="9"/>
        <color rgb="FFFFFFFF"/>
        <rFont val="Noto Sans CJK SC"/>
        <family val="2"/>
      </rPr>
      <t xml:space="preserve">長期化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ヶ月の自己負担</t>
    </r>
  </si>
  <si>
    <t xml:space="preserve">資産倍率</t>
  </si>
  <si>
    <t xml:space="preserve">区分ウ</t>
  </si>
  <si>
    <t xml:space="preserve">区分イ</t>
  </si>
  <si>
    <t xml:space="preserve">区分ア</t>
  </si>
  <si>
    <r>
      <rPr>
        <sz val="9"/>
        <color rgb="FF404040"/>
        <rFont val="Noto Sans CJK SC"/>
        <family val="2"/>
      </rPr>
      <t xml:space="preserve">※ 想定医療費は月</t>
    </r>
    <r>
      <rPr>
        <sz val="9"/>
        <color rgb="FF404040"/>
        <rFont val="Arial"/>
        <family val="0"/>
        <charset val="1"/>
      </rPr>
      <t xml:space="preserve">100</t>
    </r>
    <r>
      <rPr>
        <sz val="9"/>
        <color rgb="FF404040"/>
        <rFont val="Noto Sans CJK SC"/>
        <family val="2"/>
      </rPr>
      <t xml:space="preserve">万円（</t>
    </r>
    <r>
      <rPr>
        <sz val="9"/>
        <color rgb="FF404040"/>
        <rFont val="Arial"/>
        <family val="0"/>
        <charset val="1"/>
      </rPr>
      <t xml:space="preserve">3</t>
    </r>
    <r>
      <rPr>
        <sz val="9"/>
        <color rgb="FF404040"/>
        <rFont val="Noto Sans CJK SC"/>
        <family val="2"/>
      </rPr>
      <t xml:space="preserve">割負担前）を仮置き。入院期間は患者調査の平均在院日数に差し替えること（要一次情報確認）。</t>
    </r>
  </si>
  <si>
    <r>
      <rPr>
        <sz val="9"/>
        <color rgb="FF404040"/>
        <rFont val="Noto Sans CJK SC"/>
        <family val="2"/>
      </rPr>
      <t xml:space="preserve">※ 保険外費用（差額ベッド・食事・雑費）月</t>
    </r>
    <r>
      <rPr>
        <sz val="9"/>
        <color rgb="FF404040"/>
        <rFont val="Arial"/>
        <family val="0"/>
        <charset val="1"/>
      </rPr>
      <t xml:space="preserve">10</t>
    </r>
    <r>
      <rPr>
        <sz val="9"/>
        <color rgb="FF404040"/>
        <rFont val="Noto Sans CJK SC"/>
        <family val="2"/>
      </rPr>
      <t xml:space="preserve">万円は民間調査ベースの仮置き。出典を確定させること。</t>
    </r>
  </si>
  <si>
    <t xml:space="preserve">自己保険と判定する資産倍率（当社基準）</t>
  </si>
  <si>
    <r>
      <rPr>
        <b val="true"/>
        <sz val="14"/>
        <color rgb="FF1F3864"/>
        <rFont val="Noto Sans CJK SC"/>
        <family val="2"/>
      </rPr>
      <t xml:space="preserve">制度パラメータと当社基準（黄色＝本人が結果画面で動かせる値／</t>
    </r>
    <r>
      <rPr>
        <b val="true"/>
        <sz val="14"/>
        <color rgb="FF1F3864"/>
        <rFont val="Arial"/>
        <family val="0"/>
        <charset val="1"/>
      </rPr>
      <t xml:space="preserve">grill Q8</t>
    </r>
    <r>
      <rPr>
        <b val="true"/>
        <sz val="14"/>
        <color rgb="FF1F3864"/>
        <rFont val="Noto Sans CJK SC"/>
        <family val="2"/>
      </rPr>
      <t xml:space="preserve">）</t>
    </r>
  </si>
  <si>
    <t xml:space="preserve">キー</t>
  </si>
  <si>
    <t xml:space="preserve">値</t>
  </si>
  <si>
    <t xml:space="preserve">単位</t>
  </si>
  <si>
    <t xml:space="preserve">区分</t>
  </si>
  <si>
    <t xml:space="preserve">出典・根拠</t>
  </si>
  <si>
    <t xml:space="preserve">一次情報で確認済み</t>
  </si>
  <si>
    <t xml:space="preserve">izoku_kiso_base</t>
  </si>
  <si>
    <r>
      <rPr>
        <sz val="9"/>
        <rFont val="Noto Sans CJK SC"/>
        <family val="2"/>
      </rPr>
      <t xml:space="preserve">円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年</t>
    </r>
  </si>
  <si>
    <t xml:space="preserve">公的</t>
  </si>
  <si>
    <r>
      <rPr>
        <sz val="9"/>
        <rFont val="Noto Sans CJK SC"/>
        <family val="2"/>
      </rPr>
      <t xml:space="preserve">日本年金機構 令和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年度年金額（報道値ベース）</t>
    </r>
  </si>
  <si>
    <t xml:space="preserve">×</t>
  </si>
  <si>
    <t xml:space="preserve">child_add_1_2</t>
  </si>
  <si>
    <r>
      <rPr>
        <sz val="9"/>
        <rFont val="Noto Sans CJK SC"/>
        <family val="2"/>
      </rPr>
      <t xml:space="preserve">同上 子の加算 第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・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子</t>
    </r>
  </si>
  <si>
    <t xml:space="preserve">child_add_3plus</t>
  </si>
  <si>
    <r>
      <rPr>
        <sz val="9"/>
        <rFont val="Noto Sans CJK SC"/>
        <family val="2"/>
      </rPr>
      <t xml:space="preserve">同上 第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子以降</t>
    </r>
  </si>
  <si>
    <t xml:space="preserve">chukorei_kafu_add</t>
  </si>
  <si>
    <r>
      <rPr>
        <sz val="9"/>
        <rFont val="Noto Sans CJK SC"/>
        <family val="2"/>
      </rPr>
      <t xml:space="preserve">中高齢寡婦加算＝老齢基礎年金満額の</t>
    </r>
    <r>
      <rPr>
        <sz val="9"/>
        <rFont val="Arial"/>
        <family val="0"/>
        <charset val="1"/>
      </rPr>
      <t xml:space="preserve">3/4</t>
    </r>
    <r>
      <rPr>
        <sz val="9"/>
        <rFont val="Noto Sans CJK SC"/>
        <family val="2"/>
      </rPr>
      <t xml:space="preserve">相当</t>
    </r>
  </si>
  <si>
    <t xml:space="preserve">hoshu_hirei_coef</t>
  </si>
  <si>
    <t xml:space="preserve">率</t>
  </si>
  <si>
    <r>
      <rPr>
        <sz val="9"/>
        <rFont val="Noto Sans CJK SC"/>
        <family val="2"/>
      </rPr>
      <t xml:space="preserve">報酬比例部分の乗率 </t>
    </r>
    <r>
      <rPr>
        <sz val="9"/>
        <rFont val="Arial"/>
        <family val="0"/>
        <charset val="1"/>
      </rPr>
      <t xml:space="preserve">5.481/1000</t>
    </r>
  </si>
  <si>
    <t xml:space="preserve">○</t>
  </si>
  <si>
    <t xml:space="preserve">izoku_kosei_ratio</t>
  </si>
  <si>
    <r>
      <rPr>
        <sz val="9"/>
        <rFont val="Noto Sans CJK SC"/>
        <family val="2"/>
      </rPr>
      <t xml:space="preserve">報酬比例部分の</t>
    </r>
    <r>
      <rPr>
        <sz val="9"/>
        <rFont val="Arial"/>
        <family val="0"/>
        <charset val="1"/>
      </rPr>
      <t xml:space="preserve">3/4</t>
    </r>
  </si>
  <si>
    <t xml:space="preserve">minimum_insured_months</t>
  </si>
  <si>
    <t xml:space="preserve">月</t>
  </si>
  <si>
    <r>
      <rPr>
        <sz val="9"/>
        <rFont val="Noto Sans CJK SC"/>
        <family val="2"/>
      </rPr>
      <t xml:space="preserve">短期要件のみなし</t>
    </r>
    <r>
      <rPr>
        <sz val="9"/>
        <rFont val="Arial"/>
        <family val="0"/>
        <charset val="1"/>
      </rPr>
      <t xml:space="preserve">300</t>
    </r>
    <r>
      <rPr>
        <sz val="9"/>
        <rFont val="Noto Sans CJK SC"/>
        <family val="2"/>
      </rPr>
      <t xml:space="preserve">月</t>
    </r>
  </si>
  <si>
    <t xml:space="preserve">reform2028_years</t>
  </si>
  <si>
    <t xml:space="preserve">年</t>
  </si>
  <si>
    <r>
      <rPr>
        <sz val="9"/>
        <rFont val="Arial"/>
        <family val="0"/>
        <charset val="1"/>
      </rPr>
      <t xml:space="preserve">2028</t>
    </r>
    <r>
      <rPr>
        <sz val="9"/>
        <rFont val="Noto Sans CJK SC"/>
        <family val="2"/>
      </rPr>
      <t xml:space="preserve">年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月〜 子のない配偶者は原則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年の有期給付</t>
    </r>
  </si>
  <si>
    <t xml:space="preserve">高額療養費 区分ウ</t>
  </si>
  <si>
    <r>
      <rPr>
        <sz val="9"/>
        <rFont val="Noto Sans CJK SC"/>
        <family val="2"/>
      </rPr>
      <t xml:space="preserve">円＋</t>
    </r>
    <r>
      <rPr>
        <sz val="9"/>
        <rFont val="Arial"/>
        <family val="0"/>
        <charset val="1"/>
      </rPr>
      <t xml:space="preserve">1%</t>
    </r>
  </si>
  <si>
    <r>
      <rPr>
        <sz val="9"/>
        <rFont val="Arial"/>
        <family val="0"/>
        <charset val="1"/>
      </rPr>
      <t xml:space="preserve">2026</t>
    </r>
    <r>
      <rPr>
        <sz val="9"/>
        <rFont val="Noto Sans CJK SC"/>
        <family val="2"/>
      </rPr>
      <t xml:space="preserve">年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月施行（第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段階）</t>
    </r>
  </si>
  <si>
    <t xml:space="preserve">survivor_living_ratio_child</t>
  </si>
  <si>
    <t xml:space="preserve">当社基準</t>
  </si>
  <si>
    <t xml:space="preserve">遺族の生活費率（子育て期）。公的出典なし＝業界慣行</t>
  </si>
  <si>
    <t xml:space="preserve">―</t>
  </si>
  <si>
    <t xml:space="preserve">survivor_living_ratio_alone</t>
  </si>
  <si>
    <t xml:space="preserve">遺族の生活費率（末子独立後）。公的出典なし</t>
  </si>
  <si>
    <t xml:space="preserve">net_income_ratio</t>
  </si>
  <si>
    <t xml:space="preserve">年収→手取り。公的出典なし</t>
  </si>
  <si>
    <t xml:space="preserve">post_indep_min_income</t>
  </si>
  <si>
    <r>
      <rPr>
        <sz val="9"/>
        <rFont val="Noto Sans CJK SC"/>
        <family val="2"/>
      </rPr>
      <t xml:space="preserve">末子独立後の最低就労推定（パート相当）。</t>
    </r>
    <r>
      <rPr>
        <sz val="9"/>
        <rFont val="Arial"/>
        <family val="0"/>
        <charset val="1"/>
      </rPr>
      <t xml:space="preserve">grill Q3-b</t>
    </r>
    <r>
      <rPr>
        <sz val="9"/>
        <rFont val="Noto Sans CJK SC"/>
        <family val="2"/>
      </rPr>
      <t xml:space="preserve">で新設</t>
    </r>
  </si>
  <si>
    <t xml:space="preserve">living_cost_from_income</t>
  </si>
  <si>
    <t xml:space="preserve">年収から生活費を推定する場合</t>
  </si>
  <si>
    <t xml:space="preserve">funeral_reserve</t>
  </si>
  <si>
    <t xml:space="preserve">円</t>
  </si>
  <si>
    <t xml:space="preserve">要出典</t>
  </si>
  <si>
    <t xml:space="preserve">葬儀費用の民間大規模調査に差し替える</t>
  </si>
  <si>
    <t xml:space="preserve">education_public</t>
  </si>
  <si>
    <r>
      <rPr>
        <sz val="9"/>
        <rFont val="Noto Sans CJK SC"/>
        <family val="2"/>
      </rPr>
      <t xml:space="preserve">円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人</t>
    </r>
  </si>
  <si>
    <t xml:space="preserve">文科省 子供の学習費調査＋日本政策金融公庫 教育費負担の実態調査</t>
  </si>
  <si>
    <t xml:space="preserve">hospital_months_std</t>
  </si>
  <si>
    <t xml:space="preserve">ヶ月</t>
  </si>
  <si>
    <t xml:space="preserve">厚労省 患者調査 平均在院日数に差し替える</t>
  </si>
  <si>
    <t xml:space="preserve">uncovered_medical_monthly</t>
  </si>
  <si>
    <r>
      <rPr>
        <sz val="9"/>
        <rFont val="Noto Sans CJK SC"/>
        <family val="2"/>
      </rPr>
      <t xml:space="preserve">円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月</t>
    </r>
  </si>
  <si>
    <t xml:space="preserve">差額ベッド・食事・雑費。民間調査に差し替える</t>
  </si>
  <si>
    <t xml:space="preserve">self_insure_multiple</t>
  </si>
  <si>
    <t xml:space="preserve">倍</t>
  </si>
  <si>
    <t xml:space="preserve">自己保険と判定する資産倍率。根拠なし＝当社判断として明示する</t>
  </si>
  <si>
    <r>
      <rPr>
        <b val="true"/>
        <sz val="9"/>
        <color rgb="FFC00000"/>
        <rFont val="Arial"/>
        <family val="0"/>
        <charset val="1"/>
      </rPr>
      <t xml:space="preserve">× </t>
    </r>
    <r>
      <rPr>
        <b val="true"/>
        <sz val="9"/>
        <color rgb="FFC00000"/>
        <rFont val="Noto Sans CJK SC"/>
        <family val="2"/>
      </rPr>
      <t xml:space="preserve">＝ 一次情報での確認が必要（</t>
    </r>
    <r>
      <rPr>
        <b val="true"/>
        <sz val="9"/>
        <color rgb="FFC00000"/>
        <rFont val="Arial"/>
        <family val="0"/>
        <charset val="1"/>
      </rPr>
      <t xml:space="preserve">verified:false</t>
    </r>
    <r>
      <rPr>
        <b val="true"/>
        <sz val="9"/>
        <color rgb="FFC00000"/>
        <rFont val="Noto Sans CJK SC"/>
        <family val="2"/>
      </rPr>
      <t xml:space="preserve">）。この状態で本番に出さないこと（</t>
    </r>
    <r>
      <rPr>
        <b val="true"/>
        <sz val="9"/>
        <color rgb="FFC00000"/>
        <rFont val="Arial"/>
        <family val="0"/>
        <charset val="1"/>
      </rPr>
      <t xml:space="preserve">ADR-004</t>
    </r>
    <r>
      <rPr>
        <b val="true"/>
        <sz val="9"/>
        <color rgb="FFC00000"/>
        <rFont val="Noto Sans CJK SC"/>
        <family val="2"/>
      </rPr>
      <t xml:space="preserve">）。</t>
    </r>
  </si>
  <si>
    <r>
      <rPr>
        <sz val="9"/>
        <color rgb="FF404040"/>
        <rFont val="Noto Sans CJK SC"/>
        <family val="2"/>
      </rPr>
      <t xml:space="preserve">― ＝ 公的出典が存在しない当社基準。結果画面で「当社基準」と明示し、本人が動かせるようにする（</t>
    </r>
    <r>
      <rPr>
        <sz val="9"/>
        <color rgb="FF404040"/>
        <rFont val="Arial"/>
        <family val="0"/>
        <charset val="1"/>
      </rPr>
      <t xml:space="preserve">grill Q8</t>
    </r>
    <r>
      <rPr>
        <sz val="9"/>
        <color rgb="FF404040"/>
        <rFont val="Noto Sans CJK SC"/>
        <family val="2"/>
      </rPr>
      <t xml:space="preserve">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</si>
</sst>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Arial"/>
      <family val="0"/>
      <charset val="1"/>
    </font>
    <font>
      <b val="true"/>
      <sz val="10"/>
      <name val="Noto Sans CJK SC"/>
      <family val="2"/>
    </font>
    <font>
      <sz val="9"/>
      <color rgb="FF404040"/>
      <name val="Noto Sans CJK SC"/>
      <family val="2"/>
    </font>
    <font>
      <sz val="9"/>
      <color rgb="FF404040"/>
      <name val="Arial"/>
      <family val="0"/>
      <charset val="1"/>
    </font>
    <font>
      <b val="true"/>
      <sz val="9"/>
      <name val="Noto Sans CJK SC"/>
      <family val="2"/>
    </font>
    <font>
      <b val="true"/>
      <sz val="10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C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7" min="6" style="0" width="13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20" min="16" style="0" width="10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>
      <c r="A4" t="inlineStr">
        <is>
          <t xml:space="preserve">2026-09-23 更新：教育費を段階別モデル（対応コミット 60dbe72・2026-08-23）に追随。GT-02・GT-06 の教育費／必要額／提示レンジを「教育費(段階別)」シートの式から引き直した。他8世帯は不変。</t>
        </is>
      </c>
    </row>
    <row r="5" customFormat="false" ht="31.5" hidden="false" customHeight="tru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</row>
    <row r="6" customFormat="false" ht="15" hidden="false" customHeight="false" outlineLevel="0" collapsed="false">
      <c r="A6" s="5" t="s">
        <v>26</v>
      </c>
      <c r="B6" s="6" t="s">
        <v>27</v>
      </c>
      <c r="C6" s="6" t="s">
        <v>28</v>
      </c>
      <c r="D6" s="7" t="n">
        <v>20</v>
      </c>
      <c r="E6" s="7" t="n">
        <v>10</v>
      </c>
      <c r="F6" s="7" t="n">
        <v>5040</v>
      </c>
      <c r="G6" s="7" t="n">
        <v>1800</v>
      </c>
      <c r="H6" s="7" t="n">
        <v>909</v>
      </c>
      <c r="I6" s="7" t="n">
        <v>0</v>
      </c>
      <c r="J6" s="7" t="n">
        <v>200</v>
      </c>
      <c r="K6" s="8" t="n">
        <f aca="false">SUM(F6:J6)</f>
        <v>7949</v>
      </c>
      <c r="L6" s="7" t="n">
        <v>1746</v>
      </c>
      <c r="M6" s="7" t="n">
        <v>1542</v>
      </c>
      <c r="N6" s="7" t="n">
        <v>890</v>
      </c>
      <c r="O6" s="7" t="n">
        <v>6000</v>
      </c>
      <c r="P6" s="7" t="n">
        <v>400</v>
      </c>
      <c r="Q6" s="8" t="n">
        <f aca="false">SUM(L6:P6)</f>
        <v>10578</v>
      </c>
      <c r="R6" s="8" t="n">
        <f aca="false">MAX(0,K6-Q6)</f>
        <v>0</v>
      </c>
      <c r="S6" s="7" t="n">
        <v>200</v>
      </c>
      <c r="T6" s="7" t="n">
        <v>200</v>
      </c>
      <c r="U6" s="9" t="s">
        <v>29</v>
      </c>
      <c r="V6" s="7" t="n">
        <v>2000</v>
      </c>
      <c r="W6" s="7" t="n">
        <f aca="false">IF(V6="","",V6-S6)</f>
        <v>1800</v>
      </c>
    </row>
    <row r="7" customFormat="false" ht="15" hidden="false" customHeight="false" outlineLevel="0" collapsed="false">
      <c r="A7" s="5" t="s">
        <v>26</v>
      </c>
      <c r="B7" s="6" t="s">
        <v>27</v>
      </c>
      <c r="C7" s="6" t="s">
        <v>30</v>
      </c>
      <c r="D7" s="7" t="n">
        <v>20</v>
      </c>
      <c r="E7" s="7" t="n">
        <v>8</v>
      </c>
      <c r="F7" s="7" t="n">
        <v>5040</v>
      </c>
      <c r="G7" s="7" t="n">
        <v>1440</v>
      </c>
      <c r="H7" s="7" t="n">
        <v>909</v>
      </c>
      <c r="I7" s="7" t="n">
        <v>0</v>
      </c>
      <c r="J7" s="7" t="n">
        <v>200</v>
      </c>
      <c r="K7" s="8" t="n">
        <f aca="false">SUM(F7:J7)</f>
        <v>7589</v>
      </c>
      <c r="L7" s="7" t="n">
        <v>1746</v>
      </c>
      <c r="M7" s="7" t="n">
        <v>719</v>
      </c>
      <c r="N7" s="7" t="n">
        <v>763</v>
      </c>
      <c r="O7" s="7" t="n">
        <v>11200</v>
      </c>
      <c r="P7" s="7" t="n">
        <v>400</v>
      </c>
      <c r="Q7" s="8" t="n">
        <f aca="false">SUM(L7:P7)</f>
        <v>14828</v>
      </c>
      <c r="R7" s="8" t="n">
        <f aca="false">MAX(0,K7-Q7)</f>
        <v>0</v>
      </c>
      <c r="S7" s="7" t="n">
        <v>200</v>
      </c>
      <c r="T7" s="7" t="n">
        <v>200</v>
      </c>
      <c r="U7" s="9" t="s">
        <v>29</v>
      </c>
      <c r="V7" s="7" t="n">
        <v>0</v>
      </c>
      <c r="W7" s="7" t="n">
        <f aca="false">IF(V7="","",V7-S7)</f>
        <v>-200</v>
      </c>
    </row>
    <row r="8" customFormat="false" ht="15" hidden="false" customHeight="false" outlineLevel="0" collapsed="false">
      <c r="A8" s="5" t="s">
        <v>31</v>
      </c>
      <c r="B8" s="6" t="s">
        <v>32</v>
      </c>
      <c r="C8" s="6" t="s">
        <v>28</v>
      </c>
      <c r="D8" s="7" t="n">
        <v>20</v>
      </c>
      <c r="E8" s="7" t="n">
        <v>10</v>
      </c>
      <c r="F8" s="7" t="n">
        <v>4704</v>
      </c>
      <c r="G8" s="7" t="n">
        <v>1680</v>
      </c>
      <c r="H8" s="7">
        <f>'教育費(段階別)'!D19</f>
        <v>1575</v>
      </c>
      <c r="I8" s="7" t="n">
        <v>0</v>
      </c>
      <c r="J8" s="7" t="n">
        <v>200</v>
      </c>
      <c r="K8" s="8" t="n">
        <f aca="false">SUM(F8:J8)</f>
        <v>8159</v>
      </c>
      <c r="L8" s="7" t="n">
        <v>2063</v>
      </c>
      <c r="M8" s="7" t="n">
        <v>1542</v>
      </c>
      <c r="N8" s="7" t="n">
        <v>890</v>
      </c>
      <c r="O8" s="7" t="n">
        <v>1000</v>
      </c>
      <c r="P8" s="7" t="n">
        <v>200</v>
      </c>
      <c r="Q8" s="8" t="n">
        <f aca="false">SUM(L8:P8)</f>
        <v>5695</v>
      </c>
      <c r="R8" s="8" t="n">
        <f aca="false">MAX(0,K8-Q8)</f>
        <v>2464</v>
      </c>
      <c r="S8" s="7">
        <f>ROUND(R8*0.8/100,0)*100</f>
        <v>2000</v>
      </c>
      <c r="T8" s="7">
        <f>ROUND(R8*1.2/100,0)*100</f>
        <v>3000</v>
      </c>
      <c r="U8" s="10" t="s">
        <v>33</v>
      </c>
      <c r="V8" s="7" t="n">
        <v>1000</v>
      </c>
      <c r="W8" s="7" t="n">
        <f aca="false">IF(V8="","",V8-S8)</f>
        <v>-1000</v>
      </c>
    </row>
    <row r="9" customFormat="false" ht="15" hidden="false" customHeight="false" outlineLevel="0" collapsed="false">
      <c r="A9" s="5" t="s">
        <v>31</v>
      </c>
      <c r="B9" s="6" t="s">
        <v>32</v>
      </c>
      <c r="C9" s="6" t="s">
        <v>30</v>
      </c>
      <c r="D9" s="7" t="n">
        <v>20</v>
      </c>
      <c r="E9" s="7" t="n">
        <v>7</v>
      </c>
      <c r="F9" s="7" t="n">
        <v>4704</v>
      </c>
      <c r="G9" s="7" t="n">
        <v>1176</v>
      </c>
      <c r="H9" s="7" t="n">
        <v>1682</v>
      </c>
      <c r="I9" s="7" t="n">
        <v>0</v>
      </c>
      <c r="J9" s="7" t="n">
        <v>200</v>
      </c>
      <c r="K9" s="8" t="n">
        <f aca="false">SUM(F9:J9)</f>
        <v>7762</v>
      </c>
      <c r="L9" s="7" t="n">
        <v>2063</v>
      </c>
      <c r="M9" s="7" t="n">
        <v>0</v>
      </c>
      <c r="N9" s="7" t="n">
        <v>699</v>
      </c>
      <c r="O9" s="7" t="n">
        <v>10800</v>
      </c>
      <c r="P9" s="7" t="n">
        <v>200</v>
      </c>
      <c r="Q9" s="8" t="n">
        <f aca="false">SUM(L9:P9)</f>
        <v>13762</v>
      </c>
      <c r="R9" s="8" t="n">
        <f aca="false">MAX(0,K9-Q9)</f>
        <v>0</v>
      </c>
      <c r="S9" s="7" t="n">
        <v>200</v>
      </c>
      <c r="T9" s="7" t="n">
        <v>200</v>
      </c>
      <c r="U9" s="9" t="s">
        <v>29</v>
      </c>
      <c r="V9" s="7" t="n">
        <v>0</v>
      </c>
      <c r="W9" s="7" t="n">
        <f aca="false">IF(V9="","",V9-S9)</f>
        <v>-200</v>
      </c>
    </row>
    <row r="10" customFormat="false" ht="15" hidden="false" customHeight="false" outlineLevel="0" collapsed="false">
      <c r="A10" s="5" t="s">
        <v>34</v>
      </c>
      <c r="B10" s="6" t="s">
        <v>35</v>
      </c>
      <c r="C10" s="6" t="s">
        <v>28</v>
      </c>
      <c r="D10" s="7" t="n">
        <v>15</v>
      </c>
      <c r="E10" s="7" t="n">
        <v>12</v>
      </c>
      <c r="F10" s="7" t="n">
        <v>4410</v>
      </c>
      <c r="G10" s="7" t="n">
        <v>2520</v>
      </c>
      <c r="H10" s="7" t="n">
        <v>1227</v>
      </c>
      <c r="I10" s="7" t="n">
        <v>0</v>
      </c>
      <c r="J10" s="7" t="n">
        <v>200</v>
      </c>
      <c r="K10" s="8" t="n">
        <f aca="false">SUM(F10:J10)</f>
        <v>8357</v>
      </c>
      <c r="L10" s="7" t="n">
        <v>1396</v>
      </c>
      <c r="M10" s="7" t="n">
        <v>1942</v>
      </c>
      <c r="N10" s="7" t="n">
        <v>1017</v>
      </c>
      <c r="O10" s="7" t="n">
        <v>8640</v>
      </c>
      <c r="P10" s="7" t="n">
        <v>600</v>
      </c>
      <c r="Q10" s="8" t="n">
        <f aca="false">SUM(L10:P10)</f>
        <v>13595</v>
      </c>
      <c r="R10" s="8" t="n">
        <f aca="false">MAX(0,K10-Q10)</f>
        <v>0</v>
      </c>
      <c r="S10" s="7" t="n">
        <v>200</v>
      </c>
      <c r="T10" s="7" t="n">
        <v>200</v>
      </c>
      <c r="U10" s="9" t="s">
        <v>29</v>
      </c>
      <c r="V10" s="7" t="n">
        <v>1500</v>
      </c>
      <c r="W10" s="7" t="n">
        <f aca="false">IF(V10="","",V10-S10)</f>
        <v>1300</v>
      </c>
    </row>
    <row r="11" customFormat="false" ht="15" hidden="false" customHeight="false" outlineLevel="0" collapsed="false">
      <c r="A11" s="5" t="s">
        <v>34</v>
      </c>
      <c r="B11" s="6" t="s">
        <v>35</v>
      </c>
      <c r="C11" s="6" t="s">
        <v>30</v>
      </c>
      <c r="D11" s="7" t="n">
        <v>15</v>
      </c>
      <c r="E11" s="7" t="n">
        <v>10</v>
      </c>
      <c r="F11" s="7" t="n">
        <v>4410</v>
      </c>
      <c r="G11" s="7" t="n">
        <v>2100</v>
      </c>
      <c r="H11" s="7" t="n">
        <v>1227</v>
      </c>
      <c r="I11" s="7" t="n">
        <v>0</v>
      </c>
      <c r="J11" s="7" t="n">
        <v>200</v>
      </c>
      <c r="K11" s="8" t="n">
        <f aca="false">SUM(F11:J11)</f>
        <v>7937</v>
      </c>
      <c r="L11" s="7" t="n">
        <v>1396</v>
      </c>
      <c r="M11" s="7" t="n">
        <v>1028</v>
      </c>
      <c r="N11" s="7" t="n">
        <v>890</v>
      </c>
      <c r="O11" s="7" t="n">
        <v>14000</v>
      </c>
      <c r="P11" s="7" t="n">
        <v>600</v>
      </c>
      <c r="Q11" s="8" t="n">
        <f aca="false">SUM(L11:P11)</f>
        <v>17914</v>
      </c>
      <c r="R11" s="8" t="n">
        <f aca="false">MAX(0,K11-Q11)</f>
        <v>0</v>
      </c>
      <c r="S11" s="7" t="n">
        <v>200</v>
      </c>
      <c r="T11" s="7" t="n">
        <v>200</v>
      </c>
      <c r="U11" s="9" t="s">
        <v>29</v>
      </c>
      <c r="V11" s="7" t="n">
        <v>500</v>
      </c>
      <c r="W11" s="7" t="n">
        <f aca="false">IF(V11="","",V11-S11)</f>
        <v>300</v>
      </c>
    </row>
    <row r="12" customFormat="false" ht="15" hidden="false" customHeight="false" outlineLevel="0" collapsed="false">
      <c r="A12" s="5" t="s">
        <v>36</v>
      </c>
      <c r="B12" s="6" t="s">
        <v>37</v>
      </c>
      <c r="C12" s="6" t="s">
        <v>28</v>
      </c>
      <c r="D12" s="7" t="n">
        <v>0</v>
      </c>
      <c r="E12" s="7" t="n">
        <v>35</v>
      </c>
      <c r="F12" s="7" t="n">
        <v>0</v>
      </c>
      <c r="G12" s="7" t="n">
        <v>5250</v>
      </c>
      <c r="H12" s="7" t="n">
        <v>0</v>
      </c>
      <c r="I12" s="7" t="n">
        <v>0</v>
      </c>
      <c r="J12" s="7" t="n">
        <v>200</v>
      </c>
      <c r="K12" s="8" t="n">
        <f aca="false">SUM(F12:J12)</f>
        <v>5450</v>
      </c>
      <c r="L12" s="7" t="n">
        <v>0</v>
      </c>
      <c r="M12" s="7" t="n">
        <v>231</v>
      </c>
      <c r="N12" s="7" t="n">
        <v>0</v>
      </c>
      <c r="O12" s="7" t="n">
        <v>11200</v>
      </c>
      <c r="P12" s="7" t="n">
        <v>300</v>
      </c>
      <c r="Q12" s="8" t="n">
        <f aca="false">SUM(L12:P12)</f>
        <v>11731</v>
      </c>
      <c r="R12" s="8" t="n">
        <f aca="false">MAX(0,K12-Q12)</f>
        <v>0</v>
      </c>
      <c r="S12" s="7" t="n">
        <v>200</v>
      </c>
      <c r="T12" s="7" t="n">
        <v>200</v>
      </c>
      <c r="U12" s="9" t="s">
        <v>29</v>
      </c>
      <c r="V12" s="7" t="n">
        <v>1000</v>
      </c>
      <c r="W12" s="7" t="n">
        <f aca="false">IF(V12="","",V12-S12)</f>
        <v>800</v>
      </c>
    </row>
    <row r="13" customFormat="false" ht="15" hidden="false" customHeight="false" outlineLevel="0" collapsed="false">
      <c r="A13" s="5" t="s">
        <v>36</v>
      </c>
      <c r="B13" s="6" t="s">
        <v>37</v>
      </c>
      <c r="C13" s="6" t="s">
        <v>30</v>
      </c>
      <c r="D13" s="7" t="n">
        <v>0</v>
      </c>
      <c r="E13" s="7" t="n">
        <v>33</v>
      </c>
      <c r="F13" s="7" t="n">
        <v>0</v>
      </c>
      <c r="G13" s="7" t="n">
        <v>4950</v>
      </c>
      <c r="H13" s="7" t="n">
        <v>0</v>
      </c>
      <c r="I13" s="7" t="n">
        <v>0</v>
      </c>
      <c r="J13" s="7" t="n">
        <v>200</v>
      </c>
      <c r="K13" s="8" t="n">
        <f aca="false">SUM(F13:J13)</f>
        <v>5150</v>
      </c>
      <c r="L13" s="7" t="n">
        <v>0</v>
      </c>
      <c r="M13" s="7" t="n">
        <v>206</v>
      </c>
      <c r="N13" s="7" t="n">
        <v>0</v>
      </c>
      <c r="O13" s="7" t="n">
        <v>11880</v>
      </c>
      <c r="P13" s="7" t="n">
        <v>300</v>
      </c>
      <c r="Q13" s="8" t="n">
        <f aca="false">SUM(L13:P13)</f>
        <v>12386</v>
      </c>
      <c r="R13" s="8" t="n">
        <f aca="false">MAX(0,K13-Q13)</f>
        <v>0</v>
      </c>
      <c r="S13" s="7" t="n">
        <v>200</v>
      </c>
      <c r="T13" s="7" t="n">
        <v>200</v>
      </c>
      <c r="U13" s="9" t="s">
        <v>29</v>
      </c>
      <c r="V13" s="7" t="n">
        <v>1000</v>
      </c>
      <c r="W13" s="7" t="n">
        <f aca="false">IF(V13="","",V13-S13)</f>
        <v>800</v>
      </c>
    </row>
    <row r="14" customFormat="false" ht="15" hidden="false" customHeight="false" outlineLevel="0" collapsed="false">
      <c r="A14" s="5" t="s">
        <v>38</v>
      </c>
      <c r="B14" s="6" t="s">
        <v>39</v>
      </c>
      <c r="C14" s="6" t="s">
        <v>28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200</v>
      </c>
      <c r="K14" s="8" t="n">
        <f aca="false">SUM(F14:J14)</f>
        <v>200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300</v>
      </c>
      <c r="Q14" s="8" t="n">
        <f aca="false">SUM(L14:P14)</f>
        <v>300</v>
      </c>
      <c r="R14" s="8" t="n">
        <f aca="false">MAX(0,K14-Q14)</f>
        <v>0</v>
      </c>
      <c r="S14" s="7" t="n">
        <v>200</v>
      </c>
      <c r="T14" s="7" t="n">
        <v>200</v>
      </c>
      <c r="U14" s="9" t="s">
        <v>40</v>
      </c>
      <c r="V14" s="7" t="n">
        <v>1000</v>
      </c>
      <c r="W14" s="7" t="n">
        <f aca="false">IF(V14="","",V14-S14)</f>
        <v>800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6" t="s">
        <v>28</v>
      </c>
      <c r="D15" s="7" t="n">
        <v>10</v>
      </c>
      <c r="E15" s="7" t="n">
        <v>12</v>
      </c>
      <c r="F15" s="7" t="n">
        <v>2520</v>
      </c>
      <c r="G15" s="7" t="n">
        <v>2160</v>
      </c>
      <c r="H15" s="7">
        <f>'教育費(段階別)'!D20</f>
        <v>549</v>
      </c>
      <c r="I15" s="7" t="n">
        <v>0</v>
      </c>
      <c r="J15" s="7" t="n">
        <v>200</v>
      </c>
      <c r="K15" s="8" t="n">
        <f aca="false">SUM(F15:J15)</f>
        <v>5429</v>
      </c>
      <c r="L15" s="7" t="n">
        <v>655</v>
      </c>
      <c r="M15" s="7" t="n">
        <v>0</v>
      </c>
      <c r="N15" s="7" t="n">
        <v>1017</v>
      </c>
      <c r="O15" s="7" t="n">
        <v>1200</v>
      </c>
      <c r="P15" s="7" t="n">
        <v>500</v>
      </c>
      <c r="Q15" s="8" t="n">
        <f aca="false">SUM(L15:P15)</f>
        <v>3372</v>
      </c>
      <c r="R15" s="8" t="n">
        <f aca="false">MAX(0,K15-Q15)</f>
        <v>2057</v>
      </c>
      <c r="S15" s="7">
        <f>ROUND(R15*0.8/100,0)*100</f>
        <v>1600</v>
      </c>
      <c r="T15" s="7">
        <f>ROUND(R15*1.2/100,0)*100</f>
        <v>2500</v>
      </c>
      <c r="U15" s="10" t="s">
        <v>33</v>
      </c>
      <c r="V15" s="7" t="n">
        <v>1000</v>
      </c>
      <c r="W15" s="7" t="n">
        <f aca="false">IF(V15="","",V15-S15)</f>
        <v>-600</v>
      </c>
    </row>
    <row r="16" customFormat="false" ht="15" hidden="false" customHeight="false" outlineLevel="0" collapsed="false">
      <c r="A16" s="5" t="s">
        <v>41</v>
      </c>
      <c r="B16" s="6" t="s">
        <v>42</v>
      </c>
      <c r="C16" s="6" t="s">
        <v>30</v>
      </c>
      <c r="D16" s="7" t="n">
        <v>10</v>
      </c>
      <c r="E16" s="7" t="n">
        <v>10</v>
      </c>
      <c r="F16" s="7" t="n">
        <v>2520</v>
      </c>
      <c r="G16" s="7" t="n">
        <v>1800</v>
      </c>
      <c r="H16" s="7" t="n">
        <v>455</v>
      </c>
      <c r="I16" s="7" t="n">
        <v>0</v>
      </c>
      <c r="J16" s="7" t="n">
        <v>200</v>
      </c>
      <c r="K16" s="8" t="n">
        <f aca="false">SUM(F16:J16)</f>
        <v>4975</v>
      </c>
      <c r="L16" s="7" t="n">
        <v>655</v>
      </c>
      <c r="M16" s="7" t="n">
        <v>0</v>
      </c>
      <c r="N16" s="7" t="n">
        <v>890</v>
      </c>
      <c r="O16" s="7" t="n">
        <v>9600</v>
      </c>
      <c r="P16" s="7" t="n">
        <v>500</v>
      </c>
      <c r="Q16" s="8" t="n">
        <f aca="false">SUM(L16:P16)</f>
        <v>11645</v>
      </c>
      <c r="R16" s="8" t="n">
        <f aca="false">MAX(0,K16-Q16)</f>
        <v>0</v>
      </c>
      <c r="S16" s="7" t="n">
        <v>200</v>
      </c>
      <c r="T16" s="7" t="n">
        <v>200</v>
      </c>
      <c r="U16" s="9" t="s">
        <v>29</v>
      </c>
      <c r="V16" s="7" t="n">
        <v>0</v>
      </c>
      <c r="W16" s="7" t="n">
        <f aca="false">IF(V16="","",V16-S16)</f>
        <v>-200</v>
      </c>
    </row>
    <row r="17" customFormat="false" ht="15" hidden="false" customHeight="false" outlineLevel="0" collapsed="false">
      <c r="A17" s="5" t="s">
        <v>43</v>
      </c>
      <c r="B17" s="6" t="s">
        <v>44</v>
      </c>
      <c r="C17" s="6" t="s">
        <v>28</v>
      </c>
      <c r="D17" s="7" t="n">
        <v>10</v>
      </c>
      <c r="E17" s="7" t="n">
        <v>12</v>
      </c>
      <c r="F17" s="7" t="n">
        <v>3192</v>
      </c>
      <c r="G17" s="7" t="n">
        <v>2736</v>
      </c>
      <c r="H17" s="7" t="n">
        <v>773</v>
      </c>
      <c r="I17" s="7" t="n">
        <v>1500</v>
      </c>
      <c r="J17" s="7" t="n">
        <v>200</v>
      </c>
      <c r="K17" s="8" t="n">
        <f aca="false">SUM(F17:J17)</f>
        <v>8401</v>
      </c>
      <c r="L17" s="7" t="n">
        <v>728</v>
      </c>
      <c r="M17" s="7" t="n">
        <v>1809</v>
      </c>
      <c r="N17" s="7" t="n">
        <v>1017</v>
      </c>
      <c r="O17" s="7" t="n">
        <v>5280</v>
      </c>
      <c r="P17" s="7" t="n">
        <v>800</v>
      </c>
      <c r="Q17" s="8" t="n">
        <f aca="false">SUM(L17:P17)</f>
        <v>9634</v>
      </c>
      <c r="R17" s="8" t="n">
        <f aca="false">MAX(0,K17-Q17)</f>
        <v>0</v>
      </c>
      <c r="S17" s="7" t="n">
        <v>500</v>
      </c>
      <c r="T17" s="7" t="n">
        <v>800</v>
      </c>
      <c r="U17" s="9" t="s">
        <v>45</v>
      </c>
      <c r="V17" s="7" t="n">
        <v>2000</v>
      </c>
      <c r="W17" s="7" t="n">
        <f aca="false">IF(V17="","",V17-S17)</f>
        <v>1500</v>
      </c>
    </row>
    <row r="18" customFormat="false" ht="15" hidden="false" customHeight="false" outlineLevel="0" collapsed="false">
      <c r="A18" s="5" t="s">
        <v>43</v>
      </c>
      <c r="B18" s="6" t="s">
        <v>44</v>
      </c>
      <c r="C18" s="6" t="s">
        <v>30</v>
      </c>
      <c r="D18" s="7" t="n">
        <v>10</v>
      </c>
      <c r="E18" s="7" t="n">
        <v>10</v>
      </c>
      <c r="F18" s="7" t="n">
        <v>3192</v>
      </c>
      <c r="G18" s="7" t="n">
        <v>2280</v>
      </c>
      <c r="H18" s="7" t="n">
        <v>773</v>
      </c>
      <c r="I18" s="7" t="n">
        <v>1500</v>
      </c>
      <c r="J18" s="7" t="n">
        <v>200</v>
      </c>
      <c r="K18" s="8" t="n">
        <f aca="false">SUM(F18:J18)</f>
        <v>7945</v>
      </c>
      <c r="L18" s="7" t="n">
        <v>728</v>
      </c>
      <c r="M18" s="7" t="n">
        <v>617</v>
      </c>
      <c r="N18" s="7" t="n">
        <v>890</v>
      </c>
      <c r="O18" s="7" t="n">
        <v>12800</v>
      </c>
      <c r="P18" s="7" t="n">
        <v>800</v>
      </c>
      <c r="Q18" s="8" t="n">
        <f aca="false">SUM(L18:P18)</f>
        <v>15835</v>
      </c>
      <c r="R18" s="8" t="n">
        <f aca="false">MAX(0,K18-Q18)</f>
        <v>0</v>
      </c>
      <c r="S18" s="7" t="n">
        <v>200</v>
      </c>
      <c r="T18" s="7" t="n">
        <v>200</v>
      </c>
      <c r="U18" s="9" t="s">
        <v>29</v>
      </c>
      <c r="V18" s="7" t="n">
        <v>500</v>
      </c>
      <c r="W18" s="7" t="n">
        <f aca="false">IF(V18="","",V18-S18)</f>
        <v>300</v>
      </c>
    </row>
    <row r="19" customFormat="false" ht="15" hidden="false" customHeight="false" outlineLevel="0" collapsed="false">
      <c r="A19" s="5" t="s">
        <v>46</v>
      </c>
      <c r="B19" s="6" t="s">
        <v>47</v>
      </c>
      <c r="C19" s="6" t="s">
        <v>28</v>
      </c>
      <c r="D19" s="7" t="n">
        <v>19</v>
      </c>
      <c r="E19" s="7" t="n">
        <v>13</v>
      </c>
      <c r="F19" s="7" t="n">
        <v>3830</v>
      </c>
      <c r="G19" s="7" t="n">
        <v>1872</v>
      </c>
      <c r="H19" s="7" t="n">
        <v>864</v>
      </c>
      <c r="I19" s="7" t="n">
        <v>0</v>
      </c>
      <c r="J19" s="7" t="n">
        <v>200</v>
      </c>
      <c r="K19" s="8" t="n">
        <f aca="false">SUM(F19:J19)</f>
        <v>6766</v>
      </c>
      <c r="L19" s="7" t="n">
        <v>1637</v>
      </c>
      <c r="M19" s="7" t="n">
        <v>1315</v>
      </c>
      <c r="N19" s="7" t="n">
        <v>1081</v>
      </c>
      <c r="O19" s="7" t="n">
        <v>2820</v>
      </c>
      <c r="P19" s="7" t="n">
        <v>100</v>
      </c>
      <c r="Q19" s="8" t="n">
        <f aca="false">SUM(L19:P19)</f>
        <v>6953</v>
      </c>
      <c r="R19" s="8" t="n">
        <f aca="false">MAX(0,K19-Q19)</f>
        <v>0</v>
      </c>
      <c r="S19" s="7" t="n">
        <v>400</v>
      </c>
      <c r="T19" s="7" t="n">
        <v>600</v>
      </c>
      <c r="U19" s="9" t="s">
        <v>45</v>
      </c>
      <c r="V19" s="7" t="n">
        <v>500</v>
      </c>
      <c r="W19" s="7" t="n">
        <f aca="false">IF(V19="","",V19-S19)</f>
        <v>100</v>
      </c>
    </row>
    <row r="20" customFormat="false" ht="15" hidden="false" customHeight="false" outlineLevel="0" collapsed="false">
      <c r="A20" s="5" t="s">
        <v>46</v>
      </c>
      <c r="B20" s="6" t="s">
        <v>47</v>
      </c>
      <c r="C20" s="6" t="s">
        <v>30</v>
      </c>
      <c r="D20" s="7" t="n">
        <v>19</v>
      </c>
      <c r="E20" s="7" t="n">
        <v>11</v>
      </c>
      <c r="F20" s="7" t="n">
        <v>3830</v>
      </c>
      <c r="G20" s="7" t="n">
        <v>1584</v>
      </c>
      <c r="H20" s="7" t="n">
        <v>864</v>
      </c>
      <c r="I20" s="7" t="n">
        <v>0</v>
      </c>
      <c r="J20" s="7" t="n">
        <v>200</v>
      </c>
      <c r="K20" s="8" t="n">
        <f aca="false">SUM(F20:J20)</f>
        <v>6478</v>
      </c>
      <c r="L20" s="7" t="n">
        <v>1637</v>
      </c>
      <c r="M20" s="7" t="n">
        <v>308</v>
      </c>
      <c r="N20" s="7" t="n">
        <v>954</v>
      </c>
      <c r="O20" s="7" t="n">
        <v>9600</v>
      </c>
      <c r="P20" s="7" t="n">
        <v>100</v>
      </c>
      <c r="Q20" s="8" t="n">
        <f aca="false">SUM(L20:P20)</f>
        <v>12599</v>
      </c>
      <c r="R20" s="8" t="n">
        <f aca="false">MAX(0,K20-Q20)</f>
        <v>0</v>
      </c>
      <c r="S20" s="7" t="n">
        <v>200</v>
      </c>
      <c r="T20" s="7" t="n">
        <v>200</v>
      </c>
      <c r="U20" s="9" t="s">
        <v>29</v>
      </c>
      <c r="V20" s="7" t="n">
        <v>0</v>
      </c>
      <c r="W20" s="7" t="n">
        <f aca="false">IF(V20="","",V20-S20)</f>
        <v>-200</v>
      </c>
    </row>
    <row r="21" customFormat="false" ht="15" hidden="false" customHeight="false" outlineLevel="0" collapsed="false">
      <c r="A21" s="5" t="s">
        <v>48</v>
      </c>
      <c r="B21" s="6" t="s">
        <v>49</v>
      </c>
      <c r="C21" s="6" t="s">
        <v>28</v>
      </c>
      <c r="D21" s="7" t="n">
        <v>2</v>
      </c>
      <c r="E21" s="7" t="n">
        <v>15</v>
      </c>
      <c r="F21" s="7" t="n">
        <v>672</v>
      </c>
      <c r="G21" s="7" t="n">
        <v>3600</v>
      </c>
      <c r="H21" s="7" t="n">
        <v>182</v>
      </c>
      <c r="I21" s="7" t="n">
        <v>0</v>
      </c>
      <c r="J21" s="7" t="n">
        <v>200</v>
      </c>
      <c r="K21" s="8" t="n">
        <f aca="false">SUM(F21:J21)</f>
        <v>4654</v>
      </c>
      <c r="L21" s="7" t="n">
        <v>0</v>
      </c>
      <c r="M21" s="7" t="n">
        <v>2096</v>
      </c>
      <c r="N21" s="7" t="n">
        <v>1081</v>
      </c>
      <c r="O21" s="7" t="n">
        <v>8160</v>
      </c>
      <c r="P21" s="7" t="n">
        <v>2000</v>
      </c>
      <c r="Q21" s="8" t="n">
        <f aca="false">SUM(L21:P21)</f>
        <v>13337</v>
      </c>
      <c r="R21" s="8" t="n">
        <f aca="false">MAX(0,K21-Q21)</f>
        <v>0</v>
      </c>
      <c r="S21" s="7" t="n">
        <v>200</v>
      </c>
      <c r="T21" s="7" t="n">
        <v>200</v>
      </c>
      <c r="U21" s="9" t="s">
        <v>29</v>
      </c>
      <c r="V21" s="7" t="n">
        <v>3000</v>
      </c>
      <c r="W21" s="7" t="n">
        <f aca="false">IF(V21="","",V21-S21)</f>
        <v>2800</v>
      </c>
    </row>
    <row r="22" customFormat="false" ht="15" hidden="false" customHeight="false" outlineLevel="0" collapsed="false">
      <c r="A22" s="5" t="s">
        <v>48</v>
      </c>
      <c r="B22" s="6" t="s">
        <v>49</v>
      </c>
      <c r="C22" s="6" t="s">
        <v>30</v>
      </c>
      <c r="D22" s="7" t="n">
        <v>2</v>
      </c>
      <c r="E22" s="7" t="n">
        <v>13</v>
      </c>
      <c r="F22" s="7" t="n">
        <v>672</v>
      </c>
      <c r="G22" s="7" t="n">
        <v>3120</v>
      </c>
      <c r="H22" s="7" t="n">
        <v>182</v>
      </c>
      <c r="I22" s="7" t="n">
        <v>0</v>
      </c>
      <c r="J22" s="7" t="n">
        <v>200</v>
      </c>
      <c r="K22" s="8" t="n">
        <f aca="false">SUM(F22:J22)</f>
        <v>4174</v>
      </c>
      <c r="L22" s="7" t="n">
        <v>0</v>
      </c>
      <c r="M22" s="7" t="n">
        <v>925</v>
      </c>
      <c r="N22" s="7" t="n">
        <v>954</v>
      </c>
      <c r="O22" s="7" t="n">
        <v>14400</v>
      </c>
      <c r="P22" s="7" t="n">
        <v>2000</v>
      </c>
      <c r="Q22" s="8" t="n">
        <f aca="false">SUM(L22:P22)</f>
        <v>18279</v>
      </c>
      <c r="R22" s="8" t="n">
        <f aca="false">MAX(0,K22-Q22)</f>
        <v>0</v>
      </c>
      <c r="S22" s="7" t="n">
        <v>200</v>
      </c>
      <c r="T22" s="7" t="n">
        <v>200</v>
      </c>
      <c r="U22" s="9" t="s">
        <v>29</v>
      </c>
      <c r="V22" s="7" t="n">
        <v>1000</v>
      </c>
      <c r="W22" s="7" t="n">
        <f aca="false">IF(V22="","",V22-S22)</f>
        <v>800</v>
      </c>
    </row>
    <row r="23" customFormat="false" ht="15" hidden="false" customHeight="false" outlineLevel="0" collapsed="false">
      <c r="A23" s="5" t="s">
        <v>50</v>
      </c>
      <c r="B23" s="6" t="s">
        <v>51</v>
      </c>
      <c r="C23" s="6" t="s">
        <v>28</v>
      </c>
      <c r="D23" s="7" t="n">
        <v>16</v>
      </c>
      <c r="E23" s="7" t="n">
        <v>13</v>
      </c>
      <c r="F23" s="7" t="n">
        <v>4301</v>
      </c>
      <c r="G23" s="7" t="n">
        <v>2496</v>
      </c>
      <c r="H23" s="7" t="n">
        <v>727</v>
      </c>
      <c r="I23" s="7" t="n">
        <v>0</v>
      </c>
      <c r="J23" s="7" t="n">
        <v>200</v>
      </c>
      <c r="K23" s="8" t="n">
        <f aca="false">SUM(F23:J23)</f>
        <v>7724</v>
      </c>
      <c r="L23" s="7" t="n">
        <v>1310</v>
      </c>
      <c r="M23" s="7" t="n">
        <v>894</v>
      </c>
      <c r="N23" s="7" t="n">
        <v>1081</v>
      </c>
      <c r="O23" s="7" t="n">
        <v>16240</v>
      </c>
      <c r="P23" s="7" t="n">
        <v>400</v>
      </c>
      <c r="Q23" s="8" t="n">
        <f aca="false">SUM(L23:P23)</f>
        <v>19925</v>
      </c>
      <c r="R23" s="8" t="n">
        <f aca="false">MAX(0,K23-Q23)</f>
        <v>0</v>
      </c>
      <c r="S23" s="7" t="n">
        <v>200</v>
      </c>
      <c r="T23" s="7" t="n">
        <v>200</v>
      </c>
      <c r="U23" s="9" t="s">
        <v>29</v>
      </c>
      <c r="V23" s="7" t="n">
        <v>1000</v>
      </c>
      <c r="W23" s="7" t="n">
        <f aca="false">IF(V23="","",V23-S23)</f>
        <v>800</v>
      </c>
    </row>
    <row r="24" customFormat="false" ht="15" hidden="false" customHeight="false" outlineLevel="0" collapsed="false">
      <c r="A24" s="5" t="s">
        <v>50</v>
      </c>
      <c r="B24" s="6" t="s">
        <v>51</v>
      </c>
      <c r="C24" s="6" t="s">
        <v>30</v>
      </c>
      <c r="D24" s="7" t="n">
        <v>16</v>
      </c>
      <c r="E24" s="7" t="n">
        <v>11</v>
      </c>
      <c r="F24" s="7" t="n">
        <v>4301</v>
      </c>
      <c r="G24" s="7" t="n">
        <v>2112</v>
      </c>
      <c r="H24" s="7" t="n">
        <v>727</v>
      </c>
      <c r="I24" s="7" t="n">
        <v>0</v>
      </c>
      <c r="J24" s="7" t="n">
        <v>200</v>
      </c>
      <c r="K24" s="8" t="n">
        <f aca="false">SUM(F24:J24)</f>
        <v>7340</v>
      </c>
      <c r="L24" s="7" t="n">
        <v>1310</v>
      </c>
      <c r="M24" s="7" t="n">
        <v>1942</v>
      </c>
      <c r="N24" s="7" t="n">
        <v>954</v>
      </c>
      <c r="O24" s="7" t="n">
        <v>6480</v>
      </c>
      <c r="P24" s="7" t="n">
        <v>400</v>
      </c>
      <c r="Q24" s="8" t="n">
        <f aca="false">SUM(L24:P24)</f>
        <v>11086</v>
      </c>
      <c r="R24" s="8" t="n">
        <f aca="false">MAX(0,K24-Q24)</f>
        <v>0</v>
      </c>
      <c r="S24" s="7" t="n">
        <v>200</v>
      </c>
      <c r="T24" s="7" t="n">
        <v>200</v>
      </c>
      <c r="U24" s="9" t="s">
        <v>29</v>
      </c>
      <c r="V24" s="7" t="n">
        <v>500</v>
      </c>
      <c r="W24" s="7" t="n">
        <f aca="false">IF(V24="","",V24-S24)</f>
        <v>300</v>
      </c>
    </row>
    <row r="26" customFormat="false" ht="15" hidden="false" customHeight="false" outlineLevel="0" collapsed="false">
      <c r="A26" s="11" t="s">
        <v>52</v>
      </c>
    </row>
    <row r="27" customFormat="false" ht="15" hidden="false" customHeight="false" outlineLevel="0" collapsed="false">
      <c r="A27" s="12" t="s">
        <v>53</v>
      </c>
    </row>
    <row r="28" customFormat="false" ht="15" hidden="false" customHeight="false" outlineLevel="0" collapsed="false">
      <c r="A28" s="12" t="s">
        <v>54</v>
      </c>
    </row>
    <row r="29" customFormat="false" ht="15" hidden="false" customHeight="false" outlineLevel="0" collapsed="false">
      <c r="A29" s="12" t="s">
        <v>55</v>
      </c>
    </row>
    <row r="30" customFormat="false" ht="15" hidden="false" customHeight="false" outlineLevel="0" collapsed="false">
      <c r="A30" s="12" t="s">
        <v>56</v>
      </c>
    </row>
    <row r="31" customFormat="false" ht="15" hidden="false" customHeight="false" outlineLevel="0" collapsed="false">
      <c r="A31" s="12" t="s">
        <v>57</v>
      </c>
    </row>
    <row r="32" customFormat="false" ht="15" hidden="false" customHeight="false" outlineLevel="0" collapsed="false">
      <c r="A32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21.6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3" t="s">
        <v>3</v>
      </c>
      <c r="B4" s="14" t="s">
        <v>4</v>
      </c>
      <c r="C4" s="14" t="s">
        <v>61</v>
      </c>
      <c r="D4" s="14" t="s">
        <v>62</v>
      </c>
      <c r="E4" s="14" t="s">
        <v>63</v>
      </c>
      <c r="F4" s="14" t="s">
        <v>64</v>
      </c>
      <c r="G4" s="14" t="s">
        <v>65</v>
      </c>
      <c r="H4" s="14" t="s">
        <v>18</v>
      </c>
      <c r="I4" s="14" t="s">
        <v>66</v>
      </c>
      <c r="J4" s="14" t="s">
        <v>23</v>
      </c>
    </row>
    <row r="5" customFormat="false" ht="15" hidden="false" customHeight="false" outlineLevel="0" collapsed="false">
      <c r="A5" s="5" t="s">
        <v>26</v>
      </c>
      <c r="B5" s="6" t="s">
        <v>27</v>
      </c>
      <c r="C5" s="6" t="s">
        <v>67</v>
      </c>
      <c r="D5" s="15" t="n">
        <v>92940</v>
      </c>
      <c r="E5" s="15" t="n">
        <v>100000</v>
      </c>
      <c r="F5" s="15" t="n">
        <f aca="false">ROUND((D5+E5)/10000,0)</f>
        <v>19</v>
      </c>
      <c r="G5" s="15" t="n">
        <f aca="false">ROUND((D5+E5)*3/10000,0)</f>
        <v>58</v>
      </c>
      <c r="H5" s="15" t="n">
        <v>400</v>
      </c>
      <c r="I5" s="16" t="n">
        <f aca="false">ROUND(H5/G5,1)</f>
        <v>6.9</v>
      </c>
      <c r="J5" s="17" t="str">
        <f aca="false">IF(I5&gt;=$B$1000,"self_insurable",IF(I5&gt;=1,"partial","needed"))</f>
        <v>self_insurable</v>
      </c>
    </row>
    <row r="6" customFormat="false" ht="15" hidden="false" customHeight="false" outlineLevel="0" collapsed="false">
      <c r="A6" s="5" t="s">
        <v>31</v>
      </c>
      <c r="B6" s="6" t="s">
        <v>32</v>
      </c>
      <c r="C6" s="6" t="s">
        <v>67</v>
      </c>
      <c r="D6" s="15" t="n">
        <v>92940</v>
      </c>
      <c r="E6" s="15" t="n">
        <v>100000</v>
      </c>
      <c r="F6" s="15" t="n">
        <f aca="false">ROUND((D6+E6)/10000,0)</f>
        <v>19</v>
      </c>
      <c r="G6" s="15" t="n">
        <f aca="false">ROUND((D6+E6)*3/10000,0)</f>
        <v>58</v>
      </c>
      <c r="H6" s="15" t="n">
        <v>200</v>
      </c>
      <c r="I6" s="16" t="n">
        <f aca="false">ROUND(H6/G6,1)</f>
        <v>3.4</v>
      </c>
      <c r="J6" s="17" t="str">
        <f aca="false">IF(I6&gt;=$B$1000,"self_insurable",IF(I6&gt;=1,"partial","needed"))</f>
        <v>self_insurable</v>
      </c>
    </row>
    <row r="7" customFormat="false" ht="15" hidden="false" customHeight="false" outlineLevel="0" collapsed="false">
      <c r="A7" s="5" t="s">
        <v>34</v>
      </c>
      <c r="B7" s="6" t="s">
        <v>35</v>
      </c>
      <c r="C7" s="6" t="s">
        <v>67</v>
      </c>
      <c r="D7" s="15" t="n">
        <v>92940</v>
      </c>
      <c r="E7" s="15" t="n">
        <v>100000</v>
      </c>
      <c r="F7" s="15" t="n">
        <f aca="false">ROUND((D7+E7)/10000,0)</f>
        <v>19</v>
      </c>
      <c r="G7" s="15" t="n">
        <f aca="false">ROUND((D7+E7)*3/10000,0)</f>
        <v>58</v>
      </c>
      <c r="H7" s="15" t="n">
        <v>600</v>
      </c>
      <c r="I7" s="16" t="n">
        <f aca="false">ROUND(H7/G7,1)</f>
        <v>10.3</v>
      </c>
      <c r="J7" s="17" t="str">
        <f aca="false">IF(I7&gt;=$B$1000,"self_insurable",IF(I7&gt;=1,"partial","needed"))</f>
        <v>self_insurable</v>
      </c>
    </row>
    <row r="8" customFormat="false" ht="15" hidden="false" customHeight="false" outlineLevel="0" collapsed="false">
      <c r="A8" s="5" t="s">
        <v>36</v>
      </c>
      <c r="B8" s="6" t="s">
        <v>37</v>
      </c>
      <c r="C8" s="6" t="s">
        <v>67</v>
      </c>
      <c r="D8" s="15" t="n">
        <v>92940</v>
      </c>
      <c r="E8" s="15" t="n">
        <v>100000</v>
      </c>
      <c r="F8" s="15" t="n">
        <f aca="false">ROUND((D8+E8)/10000,0)</f>
        <v>19</v>
      </c>
      <c r="G8" s="15" t="n">
        <f aca="false">ROUND((D8+E8)*3/10000,0)</f>
        <v>58</v>
      </c>
      <c r="H8" s="15" t="n">
        <v>300</v>
      </c>
      <c r="I8" s="16" t="n">
        <f aca="false">ROUND(H8/G8,1)</f>
        <v>5.2</v>
      </c>
      <c r="J8" s="17" t="str">
        <f aca="false">IF(I8&gt;=$B$1000,"self_insurable",IF(I8&gt;=1,"partial","needed"))</f>
        <v>self_insurable</v>
      </c>
    </row>
    <row r="9" customFormat="false" ht="15" hidden="false" customHeight="false" outlineLevel="0" collapsed="false">
      <c r="A9" s="5" t="s">
        <v>38</v>
      </c>
      <c r="B9" s="6" t="s">
        <v>39</v>
      </c>
      <c r="C9" s="6" t="s">
        <v>67</v>
      </c>
      <c r="D9" s="15" t="n">
        <v>92940</v>
      </c>
      <c r="E9" s="15" t="n">
        <v>100000</v>
      </c>
      <c r="F9" s="15" t="n">
        <f aca="false">ROUND((D9+E9)/10000,0)</f>
        <v>19</v>
      </c>
      <c r="G9" s="15" t="n">
        <f aca="false">ROUND((D9+E9)*3/10000,0)</f>
        <v>58</v>
      </c>
      <c r="H9" s="15" t="n">
        <v>300</v>
      </c>
      <c r="I9" s="16" t="n">
        <f aca="false">ROUND(H9/G9,1)</f>
        <v>5.2</v>
      </c>
      <c r="J9" s="17" t="str">
        <f aca="false">IF(I9&gt;=$B$1000,"self_insurable",IF(I9&gt;=1,"partial","needed"))</f>
        <v>self_insurable</v>
      </c>
    </row>
    <row r="10" customFormat="false" ht="15" hidden="false" customHeight="false" outlineLevel="0" collapsed="false">
      <c r="A10" s="5" t="s">
        <v>41</v>
      </c>
      <c r="B10" s="6" t="s">
        <v>42</v>
      </c>
      <c r="C10" s="6" t="s">
        <v>67</v>
      </c>
      <c r="D10" s="15" t="n">
        <v>92940</v>
      </c>
      <c r="E10" s="15" t="n">
        <v>100000</v>
      </c>
      <c r="F10" s="15" t="n">
        <f aca="false">ROUND((D10+E10)/10000,0)</f>
        <v>19</v>
      </c>
      <c r="G10" s="15" t="n">
        <f aca="false">ROUND((D10+E10)*3/10000,0)</f>
        <v>58</v>
      </c>
      <c r="H10" s="15" t="n">
        <v>500</v>
      </c>
      <c r="I10" s="16" t="n">
        <f aca="false">ROUND(H10/G10,1)</f>
        <v>8.6</v>
      </c>
      <c r="J10" s="17" t="str">
        <f aca="false">IF(I10&gt;=$B$1000,"self_insurable",IF(I10&gt;=1,"partial","needed"))</f>
        <v>self_insurable</v>
      </c>
    </row>
    <row r="11" customFormat="false" ht="15" hidden="false" customHeight="false" outlineLevel="0" collapsed="false">
      <c r="A11" s="5" t="s">
        <v>43</v>
      </c>
      <c r="B11" s="6" t="s">
        <v>44</v>
      </c>
      <c r="C11" s="6" t="s">
        <v>68</v>
      </c>
      <c r="D11" s="15" t="n">
        <v>183130</v>
      </c>
      <c r="E11" s="15" t="n">
        <v>100000</v>
      </c>
      <c r="F11" s="15" t="n">
        <f aca="false">ROUND((D11+E11)/10000,0)</f>
        <v>28</v>
      </c>
      <c r="G11" s="15" t="n">
        <f aca="false">ROUND((D11+E11)*3/10000,0)</f>
        <v>85</v>
      </c>
      <c r="H11" s="15" t="n">
        <v>800</v>
      </c>
      <c r="I11" s="16" t="n">
        <f aca="false">ROUND(H11/G11,1)</f>
        <v>9.4</v>
      </c>
      <c r="J11" s="17" t="str">
        <f aca="false">IF(I11&gt;=$B$1000,"self_insurable",IF(I11&gt;=1,"partial","needed"))</f>
        <v>self_insurable</v>
      </c>
    </row>
    <row r="12" customFormat="false" ht="15" hidden="false" customHeight="false" outlineLevel="0" collapsed="false">
      <c r="A12" s="5" t="s">
        <v>46</v>
      </c>
      <c r="B12" s="6" t="s">
        <v>47</v>
      </c>
      <c r="C12" s="6" t="s">
        <v>67</v>
      </c>
      <c r="D12" s="15" t="n">
        <v>92940</v>
      </c>
      <c r="E12" s="15" t="n">
        <v>100000</v>
      </c>
      <c r="F12" s="15" t="n">
        <f aca="false">ROUND((D12+E12)/10000,0)</f>
        <v>19</v>
      </c>
      <c r="G12" s="15" t="n">
        <f aca="false">ROUND((D12+E12)*3/10000,0)</f>
        <v>58</v>
      </c>
      <c r="H12" s="15" t="n">
        <v>100</v>
      </c>
      <c r="I12" s="16" t="n">
        <f aca="false">ROUND(H12/G12,1)</f>
        <v>1.7</v>
      </c>
      <c r="J12" s="18" t="str">
        <f aca="false">IF(I12&gt;=$B$1000,"self_insurable",IF(I12&gt;=1,"partial","needed"))</f>
        <v>partial</v>
      </c>
    </row>
    <row r="13" customFormat="false" ht="15" hidden="false" customHeight="false" outlineLevel="0" collapsed="false">
      <c r="A13" s="5" t="s">
        <v>48</v>
      </c>
      <c r="B13" s="6" t="s">
        <v>49</v>
      </c>
      <c r="C13" s="6" t="s">
        <v>69</v>
      </c>
      <c r="D13" s="15" t="n">
        <v>271290</v>
      </c>
      <c r="E13" s="15" t="n">
        <v>100000</v>
      </c>
      <c r="F13" s="15" t="n">
        <f aca="false">ROUND((D13+E13)/10000,0)</f>
        <v>37</v>
      </c>
      <c r="G13" s="15" t="n">
        <f aca="false">ROUND((D13+E13)*3/10000,0)</f>
        <v>111</v>
      </c>
      <c r="H13" s="15" t="n">
        <v>2000</v>
      </c>
      <c r="I13" s="16" t="n">
        <f aca="false">ROUND(H13/G13,1)</f>
        <v>18</v>
      </c>
      <c r="J13" s="17" t="str">
        <f aca="false">IF(I13&gt;=$B$1000,"self_insurable",IF(I13&gt;=1,"partial","needed"))</f>
        <v>self_insurable</v>
      </c>
    </row>
    <row r="14" customFormat="false" ht="15" hidden="false" customHeight="false" outlineLevel="0" collapsed="false">
      <c r="A14" s="5" t="s">
        <v>50</v>
      </c>
      <c r="B14" s="6" t="s">
        <v>51</v>
      </c>
      <c r="C14" s="6" t="s">
        <v>67</v>
      </c>
      <c r="D14" s="15" t="n">
        <v>92940</v>
      </c>
      <c r="E14" s="15" t="n">
        <v>100000</v>
      </c>
      <c r="F14" s="15" t="n">
        <f aca="false">ROUND((D14+E14)/10000,0)</f>
        <v>19</v>
      </c>
      <c r="G14" s="15" t="n">
        <f aca="false">ROUND((D14+E14)*3/10000,0)</f>
        <v>58</v>
      </c>
      <c r="H14" s="15" t="n">
        <v>400</v>
      </c>
      <c r="I14" s="16" t="n">
        <f aca="false">ROUND(H14/G14,1)</f>
        <v>6.9</v>
      </c>
      <c r="J14" s="17" t="str">
        <f aca="false">IF(I14&gt;=$B$1000,"self_insurable",IF(I14&gt;=1,"partial","needed"))</f>
        <v>self_insurable</v>
      </c>
    </row>
    <row r="16" customFormat="false" ht="15" hidden="false" customHeight="false" outlineLevel="0" collapsed="false">
      <c r="A16" s="12" t="s">
        <v>70</v>
      </c>
    </row>
    <row r="17" customFormat="false" ht="15" hidden="false" customHeight="false" outlineLevel="0" collapsed="false">
      <c r="A17" s="12" t="s">
        <v>71</v>
      </c>
    </row>
    <row r="1000" customFormat="false" ht="15" hidden="false" customHeight="false" outlineLevel="0" collapsed="false">
      <c r="A1000" s="19" t="s">
        <v>72</v>
      </c>
      <c r="B1000" s="2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8"/>
    <col collapsed="false" customWidth="true" hidden="false" outlineLevel="0" max="6" min="6" style="0" width="18"/>
  </cols>
  <sheetData>
    <row r="1" customFormat="false" ht="21.6" hidden="false" customHeight="false" outlineLevel="0" collapsed="false">
      <c r="A1" s="1" t="s">
        <v>73</v>
      </c>
    </row>
    <row r="3" customFormat="false" ht="15" hidden="false" customHeight="false" outlineLevel="0" collapsed="false">
      <c r="A3" s="21" t="s">
        <v>74</v>
      </c>
      <c r="B3" s="21" t="s">
        <v>75</v>
      </c>
      <c r="C3" s="21" t="s">
        <v>76</v>
      </c>
      <c r="D3" s="21" t="s">
        <v>77</v>
      </c>
      <c r="E3" s="21" t="s">
        <v>78</v>
      </c>
      <c r="F3" s="21" t="s">
        <v>79</v>
      </c>
    </row>
    <row r="4" customFormat="false" ht="15" hidden="false" customHeight="false" outlineLevel="0" collapsed="false">
      <c r="A4" s="5" t="s">
        <v>80</v>
      </c>
      <c r="B4" s="5" t="n">
        <v>847500</v>
      </c>
      <c r="C4" s="6" t="s">
        <v>81</v>
      </c>
      <c r="D4" s="6" t="s">
        <v>82</v>
      </c>
      <c r="E4" s="6" t="s">
        <v>83</v>
      </c>
      <c r="F4" s="22" t="s">
        <v>84</v>
      </c>
    </row>
    <row r="5" customFormat="false" ht="15" hidden="false" customHeight="false" outlineLevel="0" collapsed="false">
      <c r="A5" s="5" t="s">
        <v>85</v>
      </c>
      <c r="B5" s="5" t="n">
        <v>243900</v>
      </c>
      <c r="C5" s="6" t="s">
        <v>81</v>
      </c>
      <c r="D5" s="6" t="s">
        <v>82</v>
      </c>
      <c r="E5" s="6" t="s">
        <v>86</v>
      </c>
      <c r="F5" s="22" t="s">
        <v>84</v>
      </c>
    </row>
    <row r="6" customFormat="false" ht="15" hidden="false" customHeight="false" outlineLevel="0" collapsed="false">
      <c r="A6" s="5" t="s">
        <v>87</v>
      </c>
      <c r="B6" s="5" t="n">
        <v>81300</v>
      </c>
      <c r="C6" s="6" t="s">
        <v>81</v>
      </c>
      <c r="D6" s="6" t="s">
        <v>82</v>
      </c>
      <c r="E6" s="6" t="s">
        <v>88</v>
      </c>
      <c r="F6" s="22" t="s">
        <v>84</v>
      </c>
    </row>
    <row r="7" customFormat="false" ht="15" hidden="false" customHeight="false" outlineLevel="0" collapsed="false">
      <c r="A7" s="5" t="s">
        <v>89</v>
      </c>
      <c r="B7" s="5" t="n">
        <v>635700</v>
      </c>
      <c r="C7" s="6" t="s">
        <v>81</v>
      </c>
      <c r="D7" s="6" t="s">
        <v>82</v>
      </c>
      <c r="E7" s="6" t="s">
        <v>90</v>
      </c>
      <c r="F7" s="22" t="s">
        <v>84</v>
      </c>
    </row>
    <row r="8" customFormat="false" ht="15" hidden="false" customHeight="false" outlineLevel="0" collapsed="false">
      <c r="A8" s="5" t="s">
        <v>91</v>
      </c>
      <c r="B8" s="5" t="n">
        <v>0.005481</v>
      </c>
      <c r="C8" s="6" t="s">
        <v>92</v>
      </c>
      <c r="D8" s="6" t="s">
        <v>82</v>
      </c>
      <c r="E8" s="6" t="s">
        <v>93</v>
      </c>
      <c r="F8" s="23" t="s">
        <v>94</v>
      </c>
    </row>
    <row r="9" customFormat="false" ht="15" hidden="false" customHeight="false" outlineLevel="0" collapsed="false">
      <c r="A9" s="5" t="s">
        <v>95</v>
      </c>
      <c r="B9" s="5" t="n">
        <v>0.75</v>
      </c>
      <c r="C9" s="6" t="s">
        <v>92</v>
      </c>
      <c r="D9" s="6" t="s">
        <v>82</v>
      </c>
      <c r="E9" s="6" t="s">
        <v>96</v>
      </c>
      <c r="F9" s="23" t="s">
        <v>94</v>
      </c>
    </row>
    <row r="10" customFormat="false" ht="15" hidden="false" customHeight="false" outlineLevel="0" collapsed="false">
      <c r="A10" s="5" t="s">
        <v>97</v>
      </c>
      <c r="B10" s="5" t="n">
        <v>300</v>
      </c>
      <c r="C10" s="6" t="s">
        <v>98</v>
      </c>
      <c r="D10" s="6" t="s">
        <v>82</v>
      </c>
      <c r="E10" s="6" t="s">
        <v>99</v>
      </c>
      <c r="F10" s="23" t="s">
        <v>94</v>
      </c>
    </row>
    <row r="11" customFormat="false" ht="15" hidden="false" customHeight="false" outlineLevel="0" collapsed="false">
      <c r="A11" s="5" t="s">
        <v>100</v>
      </c>
      <c r="B11" s="5" t="n">
        <v>5</v>
      </c>
      <c r="C11" s="6" t="s">
        <v>101</v>
      </c>
      <c r="D11" s="6" t="s">
        <v>82</v>
      </c>
      <c r="E11" s="5" t="s">
        <v>102</v>
      </c>
      <c r="F11" s="22" t="s">
        <v>84</v>
      </c>
    </row>
    <row r="12" customFormat="false" ht="15" hidden="false" customHeight="false" outlineLevel="0" collapsed="false">
      <c r="A12" s="6" t="s">
        <v>103</v>
      </c>
      <c r="B12" s="5" t="n">
        <v>85800</v>
      </c>
      <c r="C12" s="6" t="s">
        <v>104</v>
      </c>
      <c r="D12" s="6" t="s">
        <v>82</v>
      </c>
      <c r="E12" s="5" t="s">
        <v>105</v>
      </c>
      <c r="F12" s="22" t="s">
        <v>84</v>
      </c>
    </row>
    <row r="13" customFormat="false" ht="15" hidden="false" customHeight="false" outlineLevel="0" collapsed="false">
      <c r="A13" s="5" t="s">
        <v>106</v>
      </c>
      <c r="B13" s="24" t="n">
        <v>0.7</v>
      </c>
      <c r="C13" s="6" t="s">
        <v>92</v>
      </c>
      <c r="D13" s="6" t="s">
        <v>107</v>
      </c>
      <c r="E13" s="6" t="s">
        <v>108</v>
      </c>
      <c r="F13" s="23" t="s">
        <v>109</v>
      </c>
    </row>
    <row r="14" customFormat="false" ht="15" hidden="false" customHeight="false" outlineLevel="0" collapsed="false">
      <c r="A14" s="5" t="s">
        <v>110</v>
      </c>
      <c r="B14" s="24" t="n">
        <v>0.5</v>
      </c>
      <c r="C14" s="6" t="s">
        <v>92</v>
      </c>
      <c r="D14" s="6" t="s">
        <v>107</v>
      </c>
      <c r="E14" s="6" t="s">
        <v>111</v>
      </c>
      <c r="F14" s="23" t="s">
        <v>109</v>
      </c>
    </row>
    <row r="15" customFormat="false" ht="15" hidden="false" customHeight="false" outlineLevel="0" collapsed="false">
      <c r="A15" s="5" t="s">
        <v>112</v>
      </c>
      <c r="B15" s="24" t="n">
        <v>0.8</v>
      </c>
      <c r="C15" s="6" t="s">
        <v>92</v>
      </c>
      <c r="D15" s="6" t="s">
        <v>107</v>
      </c>
      <c r="E15" s="6" t="s">
        <v>113</v>
      </c>
      <c r="F15" s="23" t="s">
        <v>109</v>
      </c>
    </row>
    <row r="16" customFormat="false" ht="15" hidden="false" customHeight="false" outlineLevel="0" collapsed="false">
      <c r="A16" s="5" t="s">
        <v>114</v>
      </c>
      <c r="B16" s="24" t="n">
        <v>1000000</v>
      </c>
      <c r="C16" s="6" t="s">
        <v>81</v>
      </c>
      <c r="D16" s="6" t="s">
        <v>107</v>
      </c>
      <c r="E16" s="6" t="s">
        <v>115</v>
      </c>
      <c r="F16" s="23" t="s">
        <v>109</v>
      </c>
    </row>
    <row r="17" customFormat="false" ht="15" hidden="false" customHeight="false" outlineLevel="0" collapsed="false">
      <c r="A17" s="5" t="s">
        <v>116</v>
      </c>
      <c r="B17" s="24" t="n">
        <v>0.75</v>
      </c>
      <c r="C17" s="6" t="s">
        <v>92</v>
      </c>
      <c r="D17" s="6" t="s">
        <v>107</v>
      </c>
      <c r="E17" s="6" t="s">
        <v>117</v>
      </c>
      <c r="F17" s="23" t="s">
        <v>109</v>
      </c>
    </row>
    <row r="18" customFormat="false" ht="15" hidden="false" customHeight="false" outlineLevel="0" collapsed="false">
      <c r="A18" s="5" t="s">
        <v>118</v>
      </c>
      <c r="B18" s="5" t="n">
        <v>2000000</v>
      </c>
      <c r="C18" s="6" t="s">
        <v>119</v>
      </c>
      <c r="D18" s="6" t="s">
        <v>120</v>
      </c>
      <c r="E18" s="6" t="s">
        <v>121</v>
      </c>
      <c r="F18" s="22" t="s">
        <v>84</v>
      </c>
    </row>
    <row r="19" customFormat="false" ht="15" hidden="false" customHeight="false" outlineLevel="0" collapsed="false">
      <c r="A19" s="5" t="s">
        <v>122</v>
      </c>
      <c r="B19" s="5" t="n">
        <v>10000000</v>
      </c>
      <c r="C19" s="6" t="s">
        <v>123</v>
      </c>
      <c r="D19" s="6" t="s">
        <v>120</v>
      </c>
      <c r="E19" s="6" t="s">
        <v>124</v>
      </c>
      <c r="F19" s="22" t="s">
        <v>84</v>
      </c>
    </row>
    <row r="20" customFormat="false" ht="15" hidden="false" customHeight="false" outlineLevel="0" collapsed="false">
      <c r="A20" s="5" t="s">
        <v>125</v>
      </c>
      <c r="B20" s="5" t="n">
        <v>1</v>
      </c>
      <c r="C20" s="6" t="s">
        <v>126</v>
      </c>
      <c r="D20" s="6" t="s">
        <v>120</v>
      </c>
      <c r="E20" s="6" t="s">
        <v>127</v>
      </c>
      <c r="F20" s="22" t="s">
        <v>84</v>
      </c>
    </row>
    <row r="21" customFormat="false" ht="15" hidden="false" customHeight="false" outlineLevel="0" collapsed="false">
      <c r="A21" s="5" t="s">
        <v>128</v>
      </c>
      <c r="B21" s="5" t="n">
        <v>100000</v>
      </c>
      <c r="C21" s="6" t="s">
        <v>129</v>
      </c>
      <c r="D21" s="6" t="s">
        <v>120</v>
      </c>
      <c r="E21" s="6" t="s">
        <v>130</v>
      </c>
      <c r="F21" s="22" t="s">
        <v>84</v>
      </c>
    </row>
    <row r="22" customFormat="false" ht="15" hidden="false" customHeight="false" outlineLevel="0" collapsed="false">
      <c r="A22" s="5" t="s">
        <v>131</v>
      </c>
      <c r="B22" s="24" t="n">
        <v>3</v>
      </c>
      <c r="C22" s="6" t="s">
        <v>132</v>
      </c>
      <c r="D22" s="6" t="s">
        <v>107</v>
      </c>
      <c r="E22" s="6" t="s">
        <v>133</v>
      </c>
      <c r="F22" s="23" t="s">
        <v>109</v>
      </c>
    </row>
    <row r="24" customFormat="false" ht="15" hidden="false" customHeight="false" outlineLevel="0" collapsed="false">
      <c r="A24" s="25" t="s">
        <v>134</v>
      </c>
    </row>
    <row r="25" customFormat="false" ht="15" hidden="false" customHeight="false" outlineLevel="0" collapsed="false">
      <c r="A25" s="1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教育費（段階別モデル）の検算 ─ 機能仕様書 §4.2.2 / params.education</t>
        </is>
      </c>
    </row>
    <row r="2">
      <c r="A2" t="inlineStr">
        <is>
          <t xml:space="preserve">対応コミット 60dbe72（2026-08-23 教育費を段階別に作り替える）／再構築 2026-09-23</t>
        </is>
      </c>
    </row>
    <row r="3">
      <c r="A3" t="inlineStr">
        <is>
          <t xml:space="preserve">出典：文科省「令和5年度 子供の学習費調査」学習費総額（塾・部活・行事・制服を含む実支出）。高校は就学支援金を控除。大学は4年総額÷4</t>
        </is>
      </c>
    </row>
    <row r="5">
      <c r="A5" t="inlineStr">
        <is>
          <t xml:space="preserve">段階</t>
        </is>
      </c>
      <c r="B5" t="inlineStr">
        <is>
          <t xml:space="preserve">開始年齢</t>
        </is>
      </c>
      <c r="C5" t="inlineStr">
        <is>
          <t xml:space="preserve">終了年齢</t>
        </is>
      </c>
      <c r="D5" t="inlineStr">
        <is>
          <t xml:space="preserve">公立 年額(円)</t>
        </is>
      </c>
      <c r="E5" t="inlineStr">
        <is>
          <t xml:space="preserve">私立 年額(円)</t>
        </is>
      </c>
      <c r="F5" t="inlineStr">
        <is>
          <t xml:space="preserve">就学支援金(円)</t>
        </is>
      </c>
    </row>
    <row r="6">
      <c r="A6" t="inlineStr">
        <is>
          <t xml:space="preserve">幼稚園</t>
        </is>
      </c>
      <c r="B6">
        <v>3</v>
      </c>
      <c r="C6">
        <v>5</v>
      </c>
      <c r="D6">
        <v>184644</v>
      </c>
      <c r="E6">
        <v>347338</v>
      </c>
      <c r="F6">
        <v>0</v>
      </c>
    </row>
    <row r="7">
      <c r="A7" t="inlineStr">
        <is>
          <t xml:space="preserve">小学校</t>
        </is>
      </c>
      <c r="B7">
        <v>6</v>
      </c>
      <c r="C7">
        <v>11</v>
      </c>
      <c r="D7">
        <v>336265</v>
      </c>
      <c r="E7">
        <v>1828112</v>
      </c>
      <c r="F7">
        <v>0</v>
      </c>
    </row>
    <row r="8">
      <c r="A8" t="inlineStr">
        <is>
          <t xml:space="preserve">中学校</t>
        </is>
      </c>
      <c r="B8">
        <v>12</v>
      </c>
      <c r="C8">
        <v>14</v>
      </c>
      <c r="D8">
        <v>542475</v>
      </c>
      <c r="E8">
        <v>1560359</v>
      </c>
      <c r="F8">
        <v>0</v>
      </c>
    </row>
    <row r="9">
      <c r="A9" t="inlineStr">
        <is>
          <t xml:space="preserve">高校</t>
        </is>
      </c>
      <c r="B9">
        <v>15</v>
      </c>
      <c r="C9">
        <v>17</v>
      </c>
      <c r="D9">
        <v>597752</v>
      </c>
      <c r="E9">
        <v>1030283</v>
      </c>
      <c r="F9">
        <v>118800</v>
      </c>
    </row>
    <row r="10">
      <c r="A10" t="inlineStr">
        <is>
          <t xml:space="preserve">大学</t>
        </is>
      </c>
      <c r="B10">
        <v>18</v>
      </c>
      <c r="C10">
        <v>21</v>
      </c>
      <c r="D10">
        <v>606300</v>
      </c>
      <c r="E10">
        <v>1417500</v>
      </c>
      <c r="F10">
        <v>0</v>
      </c>
    </row>
    <row r="12">
      <c r="A12" t="inlineStr">
        <is>
          <t xml:space="preserve">地域係数</t>
        </is>
      </c>
      <c r="B12">
        <v>1.0</v>
      </c>
      <c r="C12" t="inlineStr">
        <is>
          <t xml:space="preserve">当面 1.0（全国平均）</t>
        </is>
      </c>
    </row>
    <row r="14">
      <c r="A14" t="inlineStr">
        <is>
          <t xml:space="preserve">公立中心（幼=公立/小=公立/中=公立/高=公立/大=国立）の年額。年齢ごとに段階を引く</t>
        </is>
      </c>
    </row>
    <row r="15">
      <c r="A15" t="inlineStr">
        <is>
          <t xml:space="preserve">年齢</t>
        </is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</row>
    <row r="16">
      <c r="A16" t="inlineStr">
        <is>
          <t xml:space="preserve">公立中心の年額(円)</t>
        </is>
      </c>
      <c r="B16">
        <f>0</f>
      </c>
      <c r="C16">
        <f>0</f>
      </c>
      <c r="D16">
        <f>0</f>
      </c>
      <c r="E16">
        <f>($D$6-$F$6)*$B$12</f>
      </c>
      <c r="F16">
        <f>($D$6-$F$6)*$B$12</f>
      </c>
      <c r="G16">
        <f>($D$6-$F$6)*$B$12</f>
      </c>
      <c r="H16">
        <f>($D$7-$F$7)*$B$12</f>
      </c>
      <c r="I16">
        <f>($D$7-$F$7)*$B$12</f>
      </c>
      <c r="J16">
        <f>($D$7-$F$7)*$B$12</f>
      </c>
      <c r="K16">
        <f>($D$7-$F$7)*$B$12</f>
      </c>
      <c r="L16">
        <f>($D$7-$F$7)*$B$12</f>
      </c>
      <c r="M16">
        <f>($D$7-$F$7)*$B$12</f>
      </c>
      <c r="N16">
        <f>($D$8-$F$8)*$B$12</f>
      </c>
      <c r="O16">
        <f>($D$8-$F$8)*$B$12</f>
      </c>
      <c r="P16">
        <f>($D$8-$F$8)*$B$12</f>
      </c>
      <c r="Q16">
        <f>($D$9-$F$9)*$B$12</f>
      </c>
      <c r="R16">
        <f>($D$9-$F$9)*$B$12</f>
      </c>
      <c r="S16">
        <f>($D$9-$F$9)*$B$12</f>
      </c>
      <c r="T16">
        <f>$D$10*$B$12</f>
      </c>
      <c r="U16">
        <f>$D$10*$B$12</f>
      </c>
      <c r="V16">
        <f>$D$10*$B$12</f>
      </c>
      <c r="W16">
        <f>$D$10*$B$12</f>
      </c>
    </row>
    <row r="18">
      <c r="A18" t="inlineStr">
        <is>
          <t xml:space="preserve">世帯</t>
        </is>
      </c>
      <c r="B18" t="inlineStr">
        <is>
          <t xml:space="preserve">子の現年齢</t>
        </is>
      </c>
      <c r="C18" t="inlineStr">
        <is>
          <t xml:space="preserve">教育費(円)＝現年齢〜21歳の合計</t>
        </is>
      </c>
      <c r="D18" t="inlineStr">
        <is>
          <t xml:space="preserve">教育費(万円)</t>
        </is>
      </c>
    </row>
    <row r="19">
      <c r="A19" t="inlineStr">
        <is>
          <t xml:space="preserve">GT-02</t>
        </is>
      </c>
      <c r="B19" t="inlineStr">
        <is>
          <t xml:space="preserve">5歳・2歳</t>
        </is>
      </c>
      <c r="C19">
        <f>SUM(G$16:W$16)+SUM(D$16:W$16)</f>
        <v>15752718</v>
      </c>
      <c r="D19">
        <f>ROUND(C19/10000,0)</f>
        <v>1575</v>
      </c>
    </row>
    <row r="20">
      <c r="A20" t="inlineStr">
        <is>
          <t xml:space="preserve">GT-06</t>
        </is>
      </c>
      <c r="B20" t="inlineStr">
        <is>
          <t xml:space="preserve">12歳</t>
        </is>
      </c>
      <c r="C20">
        <f>SUM(N$16:W$16)</f>
        <v>5489481</v>
      </c>
      <c r="D20">
        <f>ROUND(C20/10000,0)</f>
        <v>549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2026-08-17T11:22:00Z</dcterms:created>
  <dc:creator>openpyxl</dc:creator>
  <dc:description/>
  <dc:language>en-US</dc:language>
  <cp:lastModifiedBy/>
  <dcterms:modified xsi:type="dcterms:W3CDTF">2026-08-17T11:22:00Z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